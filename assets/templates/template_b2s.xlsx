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hp8\htdocs\tower\assets\templates\"/>
    </mc:Choice>
  </mc:AlternateContent>
  <xr:revisionPtr revIDLastSave="0" documentId="13_ncr:1_{417EFB64-508A-46FB-A2D7-E4B77C1624EA}" xr6:coauthVersionLast="47" xr6:coauthVersionMax="47" xr10:uidLastSave="{00000000-0000-0000-0000-000000000000}"/>
  <bookViews>
    <workbookView xWindow="-120" yWindow="-120" windowWidth="24240" windowHeight="13140" tabRatio="859" firstSheet="2" activeTab="2" xr2:uid="{00000000-000D-0000-FFFF-FFFF00000000}"/>
  </bookViews>
  <sheets>
    <sheet name="Stacking Shelter Checklist" sheetId="10" state="hidden" r:id="rId1"/>
    <sheet name="QC Point and Checklist" sheetId="6" state="hidden" r:id="rId2"/>
    <sheet name="MASTER" sheetId="59" r:id="rId3"/>
    <sheet name="CHECKLIS MK B2S" sheetId="61" r:id="rId4"/>
    <sheet name="EVIDEN" sheetId="70" r:id="rId5"/>
    <sheet name="EVIDEN 1" sheetId="71" r:id="rId6"/>
    <sheet name="EVIDEN 2" sheetId="77" r:id="rId7"/>
    <sheet name="EVIDEN 3" sheetId="72" r:id="rId8"/>
    <sheet name="EVIDEN 4" sheetId="73" r:id="rId9"/>
    <sheet name="EVIDEN 5" sheetId="76" r:id="rId10"/>
    <sheet name="UNDANGAN SKOM" sheetId="64" r:id="rId11"/>
    <sheet name="SKOM" sheetId="25" r:id="rId12"/>
    <sheet name="PEMBESIAN SITE" sheetId="29" r:id="rId13"/>
    <sheet name="UNDANGAN PENGECORAN" sheetId="66" r:id="rId14"/>
    <sheet name="PENGECORAN SITE" sheetId="30" r:id="rId15"/>
    <sheet name="MOS &amp; ERECTION" sheetId="31" r:id="rId16"/>
    <sheet name="UNDANGAN ATP" sheetId="67" r:id="rId17"/>
    <sheet name="PELAKSANAAN ATP" sheetId="58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</externalReferences>
  <definedNames>
    <definedName name="__123Graph_A" localSheetId="4" hidden="1">[1]AC!#REF!</definedName>
    <definedName name="__123Graph_A" localSheetId="5" hidden="1">[1]AC!#REF!</definedName>
    <definedName name="__123Graph_A" localSheetId="6" hidden="1">[1]AC!#REF!</definedName>
    <definedName name="__123Graph_A" localSheetId="7" hidden="1">[1]AC!#REF!</definedName>
    <definedName name="__123Graph_A" localSheetId="8" hidden="1">[1]AC!#REF!</definedName>
    <definedName name="__123Graph_A" localSheetId="9" hidden="1">[1]AC!#REF!</definedName>
    <definedName name="__123Graph_A" hidden="1">[1]AC!#REF!</definedName>
    <definedName name="__123Graph_B" localSheetId="4" hidden="1">[1]AC!#REF!</definedName>
    <definedName name="__123Graph_B" localSheetId="5" hidden="1">[1]AC!#REF!</definedName>
    <definedName name="__123Graph_B" localSheetId="6" hidden="1">[1]AC!#REF!</definedName>
    <definedName name="__123Graph_B" localSheetId="7" hidden="1">[1]AC!#REF!</definedName>
    <definedName name="__123Graph_B" localSheetId="8" hidden="1">[1]AC!#REF!</definedName>
    <definedName name="__123Graph_B" localSheetId="9" hidden="1">[1]AC!#REF!</definedName>
    <definedName name="__123Graph_B" hidden="1">[1]AC!#REF!</definedName>
    <definedName name="__123Graph_C" localSheetId="4" hidden="1">[1]AC!#REF!</definedName>
    <definedName name="__123Graph_C" localSheetId="5" hidden="1">[1]AC!#REF!</definedName>
    <definedName name="__123Graph_C" localSheetId="6" hidden="1">[1]AC!#REF!</definedName>
    <definedName name="__123Graph_C" localSheetId="7" hidden="1">[1]AC!#REF!</definedName>
    <definedName name="__123Graph_C" localSheetId="8" hidden="1">[1]AC!#REF!</definedName>
    <definedName name="__123Graph_C" localSheetId="9" hidden="1">[1]AC!#REF!</definedName>
    <definedName name="__123Graph_C" hidden="1">[1]AC!#REF!</definedName>
    <definedName name="__123Graph_D" hidden="1">[2]SEX!$P$7:$P$7</definedName>
    <definedName name="__123Graph_E" hidden="1">[1]AC!#REF!</definedName>
    <definedName name="__123Graph_F" hidden="1">[3]ESCON!#REF!</definedName>
    <definedName name="__123Graph_X" hidden="1">[1]AC!#REF!</definedName>
    <definedName name="_2_2_2">#REF!</definedName>
    <definedName name="_2_X_2_X_2.8Bondor">#REF!</definedName>
    <definedName name="_2_X_2_X_2.8Dawamiba">#REF!</definedName>
    <definedName name="_2_X_2_X_2.8Pangaji">#REF!</definedName>
    <definedName name="_3_X_4.2_X_2.85__Backbone_Bondor">#REF!</definedName>
    <definedName name="_3_X_4.2_X_2.85__Backbone_Dawamiba">#REF!</definedName>
    <definedName name="_3_X_4.2_X_2.85__Backbone_Pangaji">#REF!</definedName>
    <definedName name="_6_X_12_X_3.2Bondor">#REF!</definedName>
    <definedName name="_6_X_12_X_3.2Dawamiba">#REF!</definedName>
    <definedName name="_6_X_12_X_3.2Pangaji">#REF!</definedName>
    <definedName name="_750_KVA_X_64__">#REF!</definedName>
    <definedName name="_AAD3" localSheetId="4">HAJIME:OWARI</definedName>
    <definedName name="_AAD3" localSheetId="5">[0]!HAJIME:[0]!OWARI</definedName>
    <definedName name="_AAD3" localSheetId="6">[0]!HAJIME:[0]!OWARI</definedName>
    <definedName name="_AAD3" localSheetId="7">[0]!HAJIME:[0]!OWARI</definedName>
    <definedName name="_AAD3" localSheetId="8">[0]!HAJIME:[0]!OWARI</definedName>
    <definedName name="_AAD3" localSheetId="9">[0]!HAJIME:[0]!OWARI</definedName>
    <definedName name="_AAD3">HAJIME:OWARI</definedName>
    <definedName name="_ADD1" localSheetId="4">STOP2:STOP2E</definedName>
    <definedName name="_ADD1" localSheetId="5">[0]!STOP2:[0]!STOP2E</definedName>
    <definedName name="_ADD1" localSheetId="6">[0]!STOP2:[0]!STOP2E</definedName>
    <definedName name="_ADD1" localSheetId="7">[0]!STOP2:[0]!STOP2E</definedName>
    <definedName name="_ADD1" localSheetId="8">[0]!STOP2:[0]!STOP2E</definedName>
    <definedName name="_ADD1" localSheetId="9">[0]!STOP2:[0]!STOP2E</definedName>
    <definedName name="_ADD1">STOP2:STOP2E</definedName>
    <definedName name="_ADD2" localSheetId="4">STOP:STOPE</definedName>
    <definedName name="_ADD2" localSheetId="5">[0]!STOP:[0]!STOPE</definedName>
    <definedName name="_ADD2" localSheetId="6">[0]!STOP:[0]!STOPE</definedName>
    <definedName name="_ADD2" localSheetId="7">[0]!STOP:[0]!STOPE</definedName>
    <definedName name="_ADD2" localSheetId="8">[0]!STOP:[0]!STOPE</definedName>
    <definedName name="_ADD2" localSheetId="9">[0]!STOP:[0]!STOPE</definedName>
    <definedName name="_ADD2">STOP:STOPE</definedName>
    <definedName name="_ADD3" localSheetId="4">STOP:STOPE</definedName>
    <definedName name="_ADD3" localSheetId="5">[0]!STOP:[0]!STOPE</definedName>
    <definedName name="_ADD3" localSheetId="6">[0]!STOP:[0]!STOPE</definedName>
    <definedName name="_ADD3" localSheetId="7">[0]!STOP:[0]!STOPE</definedName>
    <definedName name="_ADD3" localSheetId="8">[0]!STOP:[0]!STOPE</definedName>
    <definedName name="_ADD3" localSheetId="9">[0]!STOP:[0]!STOPE</definedName>
    <definedName name="_ADD3">STOP:STOPE</definedName>
    <definedName name="_BOX2" localSheetId="4">#REF!</definedName>
    <definedName name="_BOX2" localSheetId="5">#REF!</definedName>
    <definedName name="_BOX2" localSheetId="6">#REF!</definedName>
    <definedName name="_BOX2" localSheetId="7">#REF!</definedName>
    <definedName name="_BOX2" localSheetId="8">#REF!</definedName>
    <definedName name="_BOX2" localSheetId="9">#REF!</definedName>
    <definedName name="_BOX2">#REF!</definedName>
    <definedName name="_CAL1" localSheetId="4">#REF!</definedName>
    <definedName name="_CAL1" localSheetId="5">#REF!</definedName>
    <definedName name="_CAL1" localSheetId="6">#REF!</definedName>
    <definedName name="_CAL1" localSheetId="7">#REF!</definedName>
    <definedName name="_CAL1" localSheetId="8">#REF!</definedName>
    <definedName name="_CAL1" localSheetId="9">#REF!</definedName>
    <definedName name="_CAL1">#REF!</definedName>
    <definedName name="_CAL10">#REF!</definedName>
    <definedName name="_CAL11">#REF!</definedName>
    <definedName name="_CAL12">#REF!</definedName>
    <definedName name="_CAL13">#REF!</definedName>
    <definedName name="_CAL14">#REF!</definedName>
    <definedName name="_CAL15">#REF!</definedName>
    <definedName name="_CAL16">#REF!</definedName>
    <definedName name="_CAL17">#REF!</definedName>
    <definedName name="_CAL18">#REF!</definedName>
    <definedName name="_CAL19">#REF!</definedName>
    <definedName name="_CAL2">#REF!</definedName>
    <definedName name="_CAL20">#REF!</definedName>
    <definedName name="_CAL21">#REF!</definedName>
    <definedName name="_CAL3">#REF!</definedName>
    <definedName name="_CAL4">#REF!</definedName>
    <definedName name="_CAL5">#REF!</definedName>
    <definedName name="_CAL6">#REF!</definedName>
    <definedName name="_CAL7">#REF!</definedName>
    <definedName name="_CAL8">#REF!</definedName>
    <definedName name="_CAL9">#REF!</definedName>
    <definedName name="_CH1..H1___C__R">#REF!</definedName>
    <definedName name="_CH11..H11___C_">#REF!</definedName>
    <definedName name="_CH13..H13___C_">#REF!</definedName>
    <definedName name="_CH15..H15___C_">#REF!</definedName>
    <definedName name="_CH17..H17___C_">#REF!</definedName>
    <definedName name="_CH19..H19___C_">#REF!</definedName>
    <definedName name="_CH21..H21___C_">#REF!</definedName>
    <definedName name="_CH23..H23___C_">#REF!</definedName>
    <definedName name="_CH25..H25___C_">#REF!</definedName>
    <definedName name="_CH27..H27___C_">#REF!</definedName>
    <definedName name="_CH29..H29___C_">#REF!</definedName>
    <definedName name="_CH3..H3___C__R">#REF!</definedName>
    <definedName name="_CH31..H31___C_">#REF!</definedName>
    <definedName name="_CH33..H33___C_">#REF!</definedName>
    <definedName name="_CH35..H35___C_">#REF!</definedName>
    <definedName name="_CH37..H37___C_">#REF!</definedName>
    <definedName name="_CH39..H39___C_">#REF!</definedName>
    <definedName name="_CH41..H41___C_">#REF!</definedName>
    <definedName name="_CH43..H43___C_">#REF!</definedName>
    <definedName name="_CH45..H45___C_">#REF!</definedName>
    <definedName name="_CH5..H5___C__R">#REF!</definedName>
    <definedName name="_CH7..H7___C__R">#REF!</definedName>
    <definedName name="_CH9..H9___C__R">#REF!</definedName>
    <definedName name="_e3">#REF!</definedName>
    <definedName name="_EXP5">#REF!</definedName>
    <definedName name="_Fill" hidden="1">[4]BILL!#REF!</definedName>
    <definedName name="_FIT100">#REF!</definedName>
    <definedName name="_FIT120">#REF!</definedName>
    <definedName name="_FIT50">#REF!</definedName>
    <definedName name="_FIT60">#REF!</definedName>
    <definedName name="_FIT80">#REF!</definedName>
    <definedName name="_kan100">#REF!</definedName>
    <definedName name="_kan120">#REF!</definedName>
    <definedName name="_kan50">#REF!</definedName>
    <definedName name="_kan60">#REF!</definedName>
    <definedName name="_kan80">#REF!</definedName>
    <definedName name="_kan90">#REF!</definedName>
    <definedName name="_Key1" hidden="1">[4]BILL!#REF!</definedName>
    <definedName name="_Key2" hidden="1">#REF!</definedName>
    <definedName name="_Order1" hidden="1">255</definedName>
    <definedName name="_Order2" hidden="1">0</definedName>
    <definedName name="_Pip075">#REF!</definedName>
    <definedName name="_Pip1">'[5]Mat Tower'!$C$43</definedName>
    <definedName name="_Pip2">'[5]Mat Tower'!$C$44</definedName>
    <definedName name="_PL10">'[6]Mat Tower'!$C$126</definedName>
    <definedName name="_PL12">#REF!</definedName>
    <definedName name="_PL15">#REF!</definedName>
    <definedName name="_PL16">#REF!</definedName>
    <definedName name="_PL19">#REF!</definedName>
    <definedName name="_PL2">#REF!</definedName>
    <definedName name="_PL20">#REF!</definedName>
    <definedName name="_PL22">#REF!</definedName>
    <definedName name="_PL25">#REF!</definedName>
    <definedName name="_pl28">#REF!</definedName>
    <definedName name="_PL3">#REF!</definedName>
    <definedName name="_pl32">#REF!</definedName>
    <definedName name="_pl35">#REF!</definedName>
    <definedName name="_pl38">#REF!</definedName>
    <definedName name="_PL4">#REF!</definedName>
    <definedName name="_PL5">#REF!</definedName>
    <definedName name="_PL6">#REF!</definedName>
    <definedName name="_PL8">'[6]Mat Tower'!$C$125</definedName>
    <definedName name="_RB10">#REF!</definedName>
    <definedName name="_RB12">#REF!</definedName>
    <definedName name="_RB16">#REF!</definedName>
    <definedName name="_RB19">#REF!</definedName>
    <definedName name="_RB22">#REF!</definedName>
    <definedName name="_rb28">#REF!</definedName>
    <definedName name="_RB8">#REF!</definedName>
    <definedName name="_rr3">#REF!</definedName>
    <definedName name="_SFL1">#REF!</definedName>
    <definedName name="_SFL2">#REF!</definedName>
    <definedName name="_SFL3">#REF!</definedName>
    <definedName name="_SFM1">#REF!</definedName>
    <definedName name="_SFM2">#REF!</definedName>
    <definedName name="_SFM3">#REF!</definedName>
    <definedName name="_SFM4">#REF!</definedName>
    <definedName name="_SFM5">#REF!</definedName>
    <definedName name="_SFM6">#REF!</definedName>
    <definedName name="_SFM7">#REF!</definedName>
    <definedName name="_SFQ1">#REF!</definedName>
    <definedName name="_SFQ2">#REF!</definedName>
    <definedName name="_SFQ3">#REF!</definedName>
    <definedName name="_SFQ4">#REF!</definedName>
    <definedName name="_Sort" hidden="1">#REF!</definedName>
    <definedName name="_SUM1">#REF!</definedName>
    <definedName name="_SUM2">#REF!</definedName>
    <definedName name="_SUM3">#REF!</definedName>
    <definedName name="_Table1_In1" hidden="1">#REF!</definedName>
    <definedName name="_Table1_Out" hidden="1">#REF!</definedName>
    <definedName name="_TOP2">#REF!</definedName>
    <definedName name="A">#REF!</definedName>
    <definedName name="A.1">#REF!</definedName>
    <definedName name="A.2">#REF!</definedName>
    <definedName name="A.3">#REF!</definedName>
    <definedName name="A.4">#REF!</definedName>
    <definedName name="A.5">#REF!</definedName>
    <definedName name="a_as_built_drawing">#REF!</definedName>
    <definedName name="a_atap_genteng_beton">#REF!</definedName>
    <definedName name="a_baut_konstruksi">#REF!</definedName>
    <definedName name="a_beton">#REF!</definedName>
    <definedName name="a_beton_tumbuk">#REF!</definedName>
    <definedName name="a_biaya_air_kerja">#REF!</definedName>
    <definedName name="a_cat_plafond">#REF!</definedName>
    <definedName name="a_dokumentasi">#REF!</definedName>
    <definedName name="a_galian_tanah">#REF!</definedName>
    <definedName name="a_galian_tanah_pondasi">#REF!</definedName>
    <definedName name="a_kolom_beton_bertulang">#REF!</definedName>
    <definedName name="a_kuda_kuda_gording">#REF!</definedName>
    <definedName name="a_list_profil">#REF!</definedName>
    <definedName name="a_listplank_kayu">#REF!</definedName>
    <definedName name="a_nok_genteng_beton">#REF!</definedName>
    <definedName name="a_pasangan_batu_bata">#REF!</definedName>
    <definedName name="a_pasangan_bouwplank">#REF!</definedName>
    <definedName name="a_pasangan_dinding_batu_bata">#REF!</definedName>
    <definedName name="a_pasangan_lantai_keramik_30_30">#REF!</definedName>
    <definedName name="a_pasangan_pondasi_batu_bata">#REF!</definedName>
    <definedName name="a_pekerjaan_beton_bertulang">#REF!</definedName>
    <definedName name="a_pembersihan_akhir_lapangan">#REF!</definedName>
    <definedName name="a_pembersihan_lapangan">#REF!</definedName>
    <definedName name="a_pengecatan_kayu">#REF!</definedName>
    <definedName name="a_pengecatan_tembok">#REF!</definedName>
    <definedName name="a_pintu_kerang">#REF!</definedName>
    <definedName name="a_plafond_plywood_4mm">#REF!</definedName>
    <definedName name="a_plesteran">#REF!</definedName>
    <definedName name="a_plesteran_kolom">#REF!</definedName>
    <definedName name="a_rangka_atap_kayu">#REF!</definedName>
    <definedName name="a_ring_balok_beton">#REF!</definedName>
    <definedName name="a_sloof_beton_bertulang">#REF!</definedName>
    <definedName name="a_urugan_pasir_bawah_lantai">#REF!</definedName>
    <definedName name="a_urugan_pasir_bawah_pondasi">#REF!</definedName>
    <definedName name="a_urugan_pasir_urug">#REF!</definedName>
    <definedName name="a_urugan_tanah_urug_biasa">#REF!</definedName>
    <definedName name="aaa">#REF!</definedName>
    <definedName name="AccessDatabase" hidden="1">"C:\My Documents\ACTUAL\TRIALAUG.mdb"</definedName>
    <definedName name="ad">#REF!</definedName>
    <definedName name="addmob">[7]Validation!$A$25:$A$27</definedName>
    <definedName name="ADDR" localSheetId="4">HAJIME:OWARI</definedName>
    <definedName name="ADDR" localSheetId="5">[0]!HAJIME:[0]!OWARI</definedName>
    <definedName name="ADDR" localSheetId="6">[0]!HAJIME:[0]!OWARI</definedName>
    <definedName name="ADDR" localSheetId="7">[0]!HAJIME:[0]!OWARI</definedName>
    <definedName name="ADDR" localSheetId="8">[0]!HAJIME:[0]!OWARI</definedName>
    <definedName name="ADDR" localSheetId="9">[0]!HAJIME:[0]!OWARI</definedName>
    <definedName name="ADDR">HAJIME:OWARI</definedName>
    <definedName name="addwork">[7]Validation!$B$25:$B$27</definedName>
    <definedName name="ads" localSheetId="4">HAJIME:OWARI</definedName>
    <definedName name="ads" localSheetId="5">[0]!HAJIME:[0]!OWARI</definedName>
    <definedName name="ads" localSheetId="6">[0]!HAJIME:[0]!OWARI</definedName>
    <definedName name="ads" localSheetId="7">[0]!HAJIME:[0]!OWARI</definedName>
    <definedName name="ads" localSheetId="8">[0]!HAJIME:[0]!OWARI</definedName>
    <definedName name="ads" localSheetId="9">[0]!HAJIME:[0]!OWARI</definedName>
    <definedName name="ads">HAJIME:OWARI</definedName>
    <definedName name="ALL" localSheetId="4">#REF!</definedName>
    <definedName name="ALL" localSheetId="5">#REF!</definedName>
    <definedName name="ALL" localSheetId="6">#REF!</definedName>
    <definedName name="ALL" localSheetId="7">#REF!</definedName>
    <definedName name="ALL" localSheetId="8">#REF!</definedName>
    <definedName name="ALL" localSheetId="9">#REF!</definedName>
    <definedName name="ALL">#REF!</definedName>
    <definedName name="AMF" localSheetId="4">#REF!</definedName>
    <definedName name="AMF" localSheetId="5">#REF!</definedName>
    <definedName name="AMF" localSheetId="6">#REF!</definedName>
    <definedName name="AMF" localSheetId="7">#REF!</definedName>
    <definedName name="AMF" localSheetId="8">#REF!</definedName>
    <definedName name="AMF" localSheetId="9">#REF!</definedName>
    <definedName name="AMF">#REF!</definedName>
    <definedName name="AMF_del">#REF!</definedName>
    <definedName name="analisa_pembersihan_lapangan">[8]analisa!$G$7</definedName>
    <definedName name="Angkur25x1200">#REF!</definedName>
    <definedName name="ANGKUR25X1400">#REF!</definedName>
    <definedName name="ANGKUR25x1500">#REF!</definedName>
    <definedName name="ANGKUR30X1400">#REF!</definedName>
    <definedName name="ANGKUR30x1500">#REF!</definedName>
    <definedName name="ANGKUR32x1750">#REF!</definedName>
    <definedName name="ANTV_1">#REF!</definedName>
    <definedName name="ANTV_2">#REF!</definedName>
    <definedName name="ANTV_3">#REF!</definedName>
    <definedName name="area">[7]Validation!$P$1:$P$8</definedName>
    <definedName name="asd" localSheetId="4">HAJIME:OWARI</definedName>
    <definedName name="asd" localSheetId="5">[0]!HAJIME:[0]!OWARI</definedName>
    <definedName name="asd" localSheetId="6">[0]!HAJIME:[0]!OWARI</definedName>
    <definedName name="asd" localSheetId="7">[0]!HAJIME:[0]!OWARI</definedName>
    <definedName name="asd" localSheetId="8">[0]!HAJIME:[0]!OWARI</definedName>
    <definedName name="asd" localSheetId="9">[0]!HAJIME:[0]!OWARI</definedName>
    <definedName name="asd">HAJIME:OWARI</definedName>
    <definedName name="asep" localSheetId="4">#REF!</definedName>
    <definedName name="asep" localSheetId="5">#REF!</definedName>
    <definedName name="asep" localSheetId="6">#REF!</definedName>
    <definedName name="asep" localSheetId="7">#REF!</definedName>
    <definedName name="asep" localSheetId="8">#REF!</definedName>
    <definedName name="asep" localSheetId="9">#REF!</definedName>
    <definedName name="asep">#REF!</definedName>
    <definedName name="avr">[7]Validation!$M$8:$M$12</definedName>
    <definedName name="AVR_del">#REF!</definedName>
    <definedName name="b">[9]Cover!#REF!</definedName>
    <definedName name="B.1">#REF!</definedName>
    <definedName name="B.2">#REF!</definedName>
    <definedName name="B.3">#REF!</definedName>
    <definedName name="B.4">#REF!</definedName>
    <definedName name="B.5">#REF!</definedName>
    <definedName name="b_atap_genteng_beton">[10]bobot!#REF!</definedName>
    <definedName name="b_balok_dinding">[10]bobot!#REF!</definedName>
    <definedName name="b_baut_konstruksi">[10]bobot!#REF!</definedName>
    <definedName name="b_bubungan">[10]bobot!#REF!</definedName>
    <definedName name="b_gording">[10]bobot!#REF!</definedName>
    <definedName name="b_kuda_kuda">[10]bobot!#REF!</definedName>
    <definedName name="b_list_plafond">[10]bobot!#REF!</definedName>
    <definedName name="b_listplank">[10]bobot!#REF!</definedName>
    <definedName name="b_nok_genteng_beton">[10]bobot!#REF!</definedName>
    <definedName name="b_pasangan_plafond_triplek">[10]bobot!#REF!</definedName>
    <definedName name="b_pekerjaan_saluran_keliling">[10]bobot!#REF!</definedName>
    <definedName name="b_pengecatan_listplank">[10]bobot!#REF!</definedName>
    <definedName name="b_pengecatan_plafond_luar_dalam">[10]bobot!#REF!</definedName>
    <definedName name="b_rangka_atap">[10]bobot!#REF!</definedName>
    <definedName name="ba">#REF!</definedName>
    <definedName name="bahane">#REF!</definedName>
    <definedName name="Bali.2">#REF!</definedName>
    <definedName name="BALONG_BENDO">#REF!</definedName>
    <definedName name="BANYUWANGI">#REF!</definedName>
    <definedName name="basic">[11]DETAIL!#REF!</definedName>
    <definedName name="batu_bata_lubang">[8]harga!$D$19</definedName>
    <definedName name="berlang">[12]berlang!$A$1</definedName>
    <definedName name="besi_beton">[8]harga!$D$21</definedName>
    <definedName name="bgb">#REF!</definedName>
    <definedName name="bo">#REF!</definedName>
    <definedName name="bobot_pembersihan_lapangan">[8]bobot!$F$4</definedName>
    <definedName name="boredpile">[13]Validation!$K$1:$K$6</definedName>
    <definedName name="BOX">#REF!</definedName>
    <definedName name="bp">#REF!</definedName>
    <definedName name="BSC">#REF!</definedName>
    <definedName name="BSC_JEMBER">#REF!</definedName>
    <definedName name="BUDGETCURRENCYCODE2">[14]CRITERIA2!$B$16</definedName>
    <definedName name="BUDGETNAME2">[14]CRITERIA2!$B$13</definedName>
    <definedName name="BUDGETORG2">[14]CRITERIA2!$B$14</definedName>
    <definedName name="C.1">#REF!</definedName>
    <definedName name="C.10">#REF!</definedName>
    <definedName name="C.10.1">#REF!</definedName>
    <definedName name="C.10.2">#REF!</definedName>
    <definedName name="C.10.3">#REF!</definedName>
    <definedName name="C.2">#REF!</definedName>
    <definedName name="C.3">#REF!</definedName>
    <definedName name="C.3.1">#REF!</definedName>
    <definedName name="C.3.2">#REF!</definedName>
    <definedName name="C.3.3">#REF!</definedName>
    <definedName name="C.4">#REF!</definedName>
    <definedName name="C.4.1">#REF!</definedName>
    <definedName name="C.4.2">#REF!</definedName>
    <definedName name="C.4.3">#REF!</definedName>
    <definedName name="C.5">#REF!</definedName>
    <definedName name="C.5.1">#REF!</definedName>
    <definedName name="C.5.2">#REF!</definedName>
    <definedName name="C.5.3">#REF!</definedName>
    <definedName name="C.6">#REF!</definedName>
    <definedName name="C.6.1">#REF!</definedName>
    <definedName name="C.6.2">#REF!</definedName>
    <definedName name="C.6.3">#REF!</definedName>
    <definedName name="C.7">#REF!</definedName>
    <definedName name="C.7.1">#REF!</definedName>
    <definedName name="C.7.2">#REF!</definedName>
    <definedName name="C.7.3">#REF!</definedName>
    <definedName name="C.8">#REF!</definedName>
    <definedName name="C.8.1">#REF!</definedName>
    <definedName name="C.8.2">#REF!</definedName>
    <definedName name="C.8.3">#REF!</definedName>
    <definedName name="C.9">#REF!</definedName>
    <definedName name="C.9.1">#REF!</definedName>
    <definedName name="C.9.2">#REF!</definedName>
    <definedName name="C.9.3">#REF!</definedName>
    <definedName name="C_">#REF!</definedName>
    <definedName name="CAL">#REF!</definedName>
    <definedName name="CDL">#REF!</definedName>
    <definedName name="cerlang">[15]berlang!$A$1</definedName>
    <definedName name="Cerucuk">[13]Validation!$L$1:$L$3</definedName>
    <definedName name="configs">#REF!</definedName>
    <definedName name="ConfigTable">#REF!</definedName>
    <definedName name="contract_mech">#REF!</definedName>
    <definedName name="cover">#REF!</definedName>
    <definedName name="CR_ALL">#REF!</definedName>
    <definedName name="CSP">#REF!</definedName>
    <definedName name="CUL">#REF!</definedName>
    <definedName name="D">#REF!</definedName>
    <definedName name="D.1">#REF!</definedName>
    <definedName name="D.2">#REF!</definedName>
    <definedName name="Daf_mat">[16]Pipe!$A$12:$I$33</definedName>
    <definedName name="Daf_mt">[16]Pipe!$A$1:$IV$10</definedName>
    <definedName name="DANA">#REF!</definedName>
    <definedName name="DANAPAINT">#REF!</definedName>
    <definedName name="data">#REF!</definedName>
    <definedName name="Data_BSC">#REF!</definedName>
    <definedName name="data_non">#REF!</definedName>
    <definedName name="Data_Possible_Quarter">[17]Overview!$F$22:$F$376,[17]Overview!$U$22:$U$376</definedName>
    <definedName name="_xlnm.Database">#REF!</definedName>
    <definedName name="DATAHPS">'[18]HPS-data'!$B$16:$I$19</definedName>
    <definedName name="DATAHPS_11">'[18]HPS-data'!$B$7:$I$13</definedName>
    <definedName name="DB_SERT">#REF!</definedName>
    <definedName name="DBNAME2">[14]CRITERIA2!$B$39</definedName>
    <definedName name="dd">#REF!</definedName>
    <definedName name="DDD">#REF!</definedName>
    <definedName name="dddqw" localSheetId="4">HAJIME:OWARI</definedName>
    <definedName name="dddqw" localSheetId="5">[0]!HAJIME:[0]!OWARI</definedName>
    <definedName name="dddqw" localSheetId="6">[0]!HAJIME:[0]!OWARI</definedName>
    <definedName name="dddqw" localSheetId="7">[0]!HAJIME:[0]!OWARI</definedName>
    <definedName name="dddqw" localSheetId="8">[0]!HAJIME:[0]!OWARI</definedName>
    <definedName name="dddqw" localSheetId="9">[0]!HAJIME:[0]!OWARI</definedName>
    <definedName name="dddqw">HAJIME:OWARI</definedName>
    <definedName name="ddsd" localSheetId="4">HAJIME:OWARI</definedName>
    <definedName name="ddsd" localSheetId="5">[0]!HAJIME:[0]!OWARI</definedName>
    <definedName name="ddsd" localSheetId="6">[0]!HAJIME:[0]!OWARI</definedName>
    <definedName name="ddsd" localSheetId="7">[0]!HAJIME:[0]!OWARI</definedName>
    <definedName name="ddsd" localSheetId="8">[0]!HAJIME:[0]!OWARI</definedName>
    <definedName name="ddsd" localSheetId="9">[0]!HAJIME:[0]!OWARI</definedName>
    <definedName name="ddsd">HAJIME:OWARI</definedName>
    <definedName name="DE" localSheetId="4">#REF!</definedName>
    <definedName name="DE" localSheetId="5">#REF!</definedName>
    <definedName name="DE" localSheetId="6">#REF!</definedName>
    <definedName name="DE" localSheetId="7">#REF!</definedName>
    <definedName name="DE" localSheetId="8">#REF!</definedName>
    <definedName name="DE" localSheetId="9">#REF!</definedName>
    <definedName name="DE">#REF!</definedName>
    <definedName name="defect" localSheetId="4">#REF!</definedName>
    <definedName name="defect" localSheetId="5">#REF!</definedName>
    <definedName name="defect" localSheetId="6">#REF!</definedName>
    <definedName name="defect" localSheetId="7">#REF!</definedName>
    <definedName name="defect" localSheetId="8">#REF!</definedName>
    <definedName name="defect" localSheetId="9">#REF!</definedName>
    <definedName name="defect">#REF!</definedName>
    <definedName name="DFDF">#REF!</definedName>
    <definedName name="dqd" localSheetId="4">HAJIME:OWARI</definedName>
    <definedName name="dqd" localSheetId="5">[0]!HAJIME:[0]!OWARI</definedName>
    <definedName name="dqd" localSheetId="6">[0]!HAJIME:[0]!OWARI</definedName>
    <definedName name="dqd" localSheetId="7">[0]!HAJIME:[0]!OWARI</definedName>
    <definedName name="dqd" localSheetId="8">[0]!HAJIME:[0]!OWARI</definedName>
    <definedName name="dqd" localSheetId="9">[0]!HAJIME:[0]!OWARI</definedName>
    <definedName name="dqd">HAJIME:OWARI</definedName>
    <definedName name="dswqsd" localSheetId="4">HAJIME:OWARI</definedName>
    <definedName name="dswqsd" localSheetId="5">[0]!HAJIME:[0]!OWARI</definedName>
    <definedName name="dswqsd" localSheetId="6">[0]!HAJIME:[0]!OWARI</definedName>
    <definedName name="dswqsd" localSheetId="7">[0]!HAJIME:[0]!OWARI</definedName>
    <definedName name="dswqsd" localSheetId="8">[0]!HAJIME:[0]!OWARI</definedName>
    <definedName name="dswqsd" localSheetId="9">[0]!HAJIME:[0]!OWARI</definedName>
    <definedName name="dswqsd">HAJIME:OWARI</definedName>
    <definedName name="dtr" localSheetId="4">#REF!</definedName>
    <definedName name="dtr" localSheetId="5">#REF!</definedName>
    <definedName name="dtr" localSheetId="6">#REF!</definedName>
    <definedName name="dtr" localSheetId="7">#REF!</definedName>
    <definedName name="dtr" localSheetId="8">#REF!</definedName>
    <definedName name="dtr" localSheetId="9">#REF!</definedName>
    <definedName name="dtr">#REF!</definedName>
    <definedName name="dwd" localSheetId="4">HAJIME:OWARI</definedName>
    <definedName name="dwd" localSheetId="5">[0]!HAJIME:[0]!OWARI</definedName>
    <definedName name="dwd" localSheetId="6">[0]!HAJIME:[0]!OWARI</definedName>
    <definedName name="dwd" localSheetId="7">[0]!HAJIME:[0]!OWARI</definedName>
    <definedName name="dwd" localSheetId="8">[0]!HAJIME:[0]!OWARI</definedName>
    <definedName name="dwd" localSheetId="9">[0]!HAJIME:[0]!OWARI</definedName>
    <definedName name="dwd">HAJIME:OWARI</definedName>
    <definedName name="E" localSheetId="4">#REF!</definedName>
    <definedName name="E" localSheetId="5">#REF!</definedName>
    <definedName name="E" localSheetId="6">#REF!</definedName>
    <definedName name="E" localSheetId="7">#REF!</definedName>
    <definedName name="E" localSheetId="8">#REF!</definedName>
    <definedName name="E" localSheetId="9">#REF!</definedName>
    <definedName name="E">#REF!</definedName>
    <definedName name="EA" localSheetId="4">#REF!</definedName>
    <definedName name="EA" localSheetId="5">#REF!</definedName>
    <definedName name="EA" localSheetId="6">#REF!</definedName>
    <definedName name="EA" localSheetId="7">#REF!</definedName>
    <definedName name="EA" localSheetId="8">#REF!</definedName>
    <definedName name="EA" localSheetId="9">#REF!</definedName>
    <definedName name="EA">#REF!</definedName>
    <definedName name="EA1.1">#REF!</definedName>
    <definedName name="EA1.2">#REF!</definedName>
    <definedName name="EA1.3">#REF!</definedName>
    <definedName name="EA2.1">#REF!</definedName>
    <definedName name="EA2.2">#REF!</definedName>
    <definedName name="EA2.3">#REF!</definedName>
    <definedName name="EA2.5">#REF!</definedName>
    <definedName name="EA2.6">#REF!</definedName>
    <definedName name="EA2.7">#REF!</definedName>
    <definedName name="EA2.8">#REF!</definedName>
    <definedName name="EA21.1">#REF!</definedName>
    <definedName name="EA21.2">#REF!</definedName>
    <definedName name="EA21.3">#REF!</definedName>
    <definedName name="EA21.4">#REF!</definedName>
    <definedName name="EA21.5">#REF!</definedName>
    <definedName name="EA3.1">#REF!</definedName>
    <definedName name="EA3.2">#REF!</definedName>
    <definedName name="EA3.3">#REF!</definedName>
    <definedName name="EA3.4">#REF!</definedName>
    <definedName name="EastJAVA">[19]Factors!$B$5</definedName>
    <definedName name="EB">#REF!</definedName>
    <definedName name="EB1.1">#REF!</definedName>
    <definedName name="EC1.1">#REF!</definedName>
    <definedName name="ED1.1">#REF!</definedName>
    <definedName name="edd">#REF!</definedName>
    <definedName name="ee">#REF!</definedName>
    <definedName name="EEE">#REF!</definedName>
    <definedName name="eer">#REF!</definedName>
    <definedName name="eet">#REF!</definedName>
    <definedName name="eew" localSheetId="4">HAJIME:OWARI</definedName>
    <definedName name="eew" localSheetId="5">[0]!HAJIME:[0]!OWARI</definedName>
    <definedName name="eew" localSheetId="6">[0]!HAJIME:[0]!OWARI</definedName>
    <definedName name="eew" localSheetId="7">[0]!HAJIME:[0]!OWARI</definedName>
    <definedName name="eew" localSheetId="8">[0]!HAJIME:[0]!OWARI</definedName>
    <definedName name="eew" localSheetId="9">[0]!HAJIME:[0]!OWARI</definedName>
    <definedName name="eew">HAJIME:OWARI</definedName>
    <definedName name="eewt" localSheetId="4">#REF!</definedName>
    <definedName name="eewt" localSheetId="5">#REF!</definedName>
    <definedName name="eewt" localSheetId="6">#REF!</definedName>
    <definedName name="eewt" localSheetId="7">#REF!</definedName>
    <definedName name="eewt" localSheetId="8">#REF!</definedName>
    <definedName name="eewt" localSheetId="9">#REF!</definedName>
    <definedName name="eewt">#REF!</definedName>
    <definedName name="ele">'[20]Rekapsub-total-ME'!$W$2</definedName>
    <definedName name="ELEKTRIKAL">#REF!</definedName>
    <definedName name="Elektronik">#REF!</definedName>
    <definedName name="Elevation">#REF!</definedName>
    <definedName name="emicro">'[21]SITAC-Model'!$E$17</definedName>
    <definedName name="er">[22]lookup!$A$105:$D$127</definedName>
    <definedName name="erl_tbl">#REF!</definedName>
    <definedName name="ert">#REF!</definedName>
    <definedName name="etewt" localSheetId="4">HAJIME:OWARI</definedName>
    <definedName name="etewt" localSheetId="5">[0]!HAJIME:[0]!OWARI</definedName>
    <definedName name="etewt" localSheetId="6">[0]!HAJIME:[0]!OWARI</definedName>
    <definedName name="etewt" localSheetId="7">[0]!HAJIME:[0]!OWARI</definedName>
    <definedName name="etewt" localSheetId="8">[0]!HAJIME:[0]!OWARI</definedName>
    <definedName name="etewt" localSheetId="9">[0]!HAJIME:[0]!OWARI</definedName>
    <definedName name="etewt">HAJIME:OWARI</definedName>
    <definedName name="ewew" localSheetId="4">#REF!</definedName>
    <definedName name="ewew" localSheetId="5">#REF!</definedName>
    <definedName name="ewew" localSheetId="6">#REF!</definedName>
    <definedName name="ewew" localSheetId="7">#REF!</definedName>
    <definedName name="ewew" localSheetId="8">#REF!</definedName>
    <definedName name="ewew" localSheetId="9">#REF!</definedName>
    <definedName name="ewew">#REF!</definedName>
    <definedName name="ewf" localSheetId="4">HAJIME:OWARI</definedName>
    <definedName name="ewf" localSheetId="5">[0]!HAJIME:[0]!OWARI</definedName>
    <definedName name="ewf" localSheetId="6">[0]!HAJIME:[0]!OWARI</definedName>
    <definedName name="ewf" localSheetId="7">[0]!HAJIME:[0]!OWARI</definedName>
    <definedName name="ewf" localSheetId="8">[0]!HAJIME:[0]!OWARI</definedName>
    <definedName name="ewf" localSheetId="9">[0]!HAJIME:[0]!OWARI</definedName>
    <definedName name="ewf">HAJIME:OWARI</definedName>
    <definedName name="EWFEF" localSheetId="4">HAJIME:OWARI</definedName>
    <definedName name="EWFEF" localSheetId="5">[0]!HAJIME:[0]!OWARI</definedName>
    <definedName name="EWFEF" localSheetId="6">[0]!HAJIME:[0]!OWARI</definedName>
    <definedName name="EWFEF" localSheetId="7">[0]!HAJIME:[0]!OWARI</definedName>
    <definedName name="EWFEF" localSheetId="8">[0]!HAJIME:[0]!OWARI</definedName>
    <definedName name="EWFEF" localSheetId="9">[0]!HAJIME:[0]!OWARI</definedName>
    <definedName name="EWFEF">HAJIME:OWARI</definedName>
    <definedName name="ewfg" localSheetId="4">#REF!</definedName>
    <definedName name="ewfg" localSheetId="5">#REF!</definedName>
    <definedName name="ewfg" localSheetId="6">#REF!</definedName>
    <definedName name="ewfg" localSheetId="7">#REF!</definedName>
    <definedName name="ewfg" localSheetId="8">#REF!</definedName>
    <definedName name="ewfg" localSheetId="9">#REF!</definedName>
    <definedName name="ewfg">#REF!</definedName>
    <definedName name="ewr" localSheetId="4">#REF!</definedName>
    <definedName name="ewr" localSheetId="5">#REF!</definedName>
    <definedName name="ewr" localSheetId="6">#REF!</definedName>
    <definedName name="ewr" localSheetId="7">#REF!</definedName>
    <definedName name="ewr" localSheetId="8">#REF!</definedName>
    <definedName name="ewr" localSheetId="9">#REF!</definedName>
    <definedName name="ewr">#REF!</definedName>
    <definedName name="ewtewt">#REF!</definedName>
    <definedName name="f">#REF!</definedName>
    <definedName name="F_S">#REF!</definedName>
    <definedName name="F_SL" localSheetId="4">FST:(EVIDEN!FSB)</definedName>
    <definedName name="F_SL" localSheetId="5">[0]!FST:('EVIDEN 1'!FSB)</definedName>
    <definedName name="F_SL" localSheetId="6">[0]!FST:('EVIDEN 2'!FSB)</definedName>
    <definedName name="F_SL" localSheetId="7">[0]!FST:('EVIDEN 3'!FSB)</definedName>
    <definedName name="F_SL" localSheetId="8">[0]!FST:('EVIDEN 4'!FSB)</definedName>
    <definedName name="F_SL" localSheetId="9">[0]!FST:('EVIDEN 5'!FSB)</definedName>
    <definedName name="F_SL">FST:(FSB)</definedName>
    <definedName name="FB4x36" localSheetId="4">#REF!</definedName>
    <definedName name="FB4x36" localSheetId="5">#REF!</definedName>
    <definedName name="FB4x36" localSheetId="6">#REF!</definedName>
    <definedName name="FB4x36" localSheetId="7">#REF!</definedName>
    <definedName name="FB4x36" localSheetId="8">#REF!</definedName>
    <definedName name="FB4x36" localSheetId="9">#REF!</definedName>
    <definedName name="FB4x36">#REF!</definedName>
    <definedName name="FB4x40">#REF!</definedName>
    <definedName name="FB5x50">#REF!</definedName>
    <definedName name="FB6x50">#REF!</definedName>
    <definedName name="fe">[23]harga!$D$12</definedName>
    <definedName name="FEB">#REF!</definedName>
    <definedName name="FED">#REF!</definedName>
    <definedName name="fenceyard">[7]Validation!$F$1:$F$8</definedName>
    <definedName name="ff">#REF!</definedName>
    <definedName name="FFF">#REF!</definedName>
    <definedName name="fit">#REF!</definedName>
    <definedName name="FITFS">#REF!</definedName>
    <definedName name="FITT">#REF!</definedName>
    <definedName name="fr">#REF!</definedName>
    <definedName name="frf">[23]harga!$D$39</definedName>
    <definedName name="frt" localSheetId="4">HAJIME:OWARI</definedName>
    <definedName name="frt" localSheetId="5">[0]!HAJIME:[0]!OWARI</definedName>
    <definedName name="frt" localSheetId="6">[0]!HAJIME:[0]!OWARI</definedName>
    <definedName name="frt" localSheetId="7">[0]!HAJIME:[0]!OWARI</definedName>
    <definedName name="frt" localSheetId="8">[0]!HAJIME:[0]!OWARI</definedName>
    <definedName name="frt" localSheetId="9">[0]!HAJIME:[0]!OWARI</definedName>
    <definedName name="frt">HAJIME:OWARI</definedName>
    <definedName name="fsaf" localSheetId="4">#REF!</definedName>
    <definedName name="fsaf" localSheetId="5">#REF!</definedName>
    <definedName name="fsaf" localSheetId="6">#REF!</definedName>
    <definedName name="fsaf" localSheetId="7">#REF!</definedName>
    <definedName name="fsaf" localSheetId="8">#REF!</definedName>
    <definedName name="fsaf" localSheetId="9">#REF!</definedName>
    <definedName name="fsaf">#REF!</definedName>
    <definedName name="FSB" localSheetId="4">#REF!</definedName>
    <definedName name="FSB" localSheetId="5">#REF!</definedName>
    <definedName name="FSB" localSheetId="6">#REF!</definedName>
    <definedName name="FSB" localSheetId="7">#REF!</definedName>
    <definedName name="FSB" localSheetId="8">#REF!</definedName>
    <definedName name="FSB" localSheetId="9">#REF!</definedName>
    <definedName name="FSB">#REF!</definedName>
    <definedName name="FSDATA">#REF!</definedName>
    <definedName name="FST">#REF!</definedName>
    <definedName name="ftrre">#REF!</definedName>
    <definedName name="genset">#REF!</definedName>
    <definedName name="genset_del">#REF!</definedName>
    <definedName name="gfr" localSheetId="4">FST:(EVIDEN!FSB)</definedName>
    <definedName name="gfr" localSheetId="5">[0]!FST:('EVIDEN 1'!FSB)</definedName>
    <definedName name="gfr" localSheetId="6">[0]!FST:('EVIDEN 2'!FSB)</definedName>
    <definedName name="gfr" localSheetId="7">[0]!FST:('EVIDEN 3'!FSB)</definedName>
    <definedName name="gfr" localSheetId="8">[0]!FST:('EVIDEN 4'!FSB)</definedName>
    <definedName name="gfr" localSheetId="9">[0]!FST:('EVIDEN 5'!FSB)</definedName>
    <definedName name="gfr">FST:(FSB)</definedName>
    <definedName name="gfrt" localSheetId="4">#REF!</definedName>
    <definedName name="gfrt" localSheetId="5">#REF!</definedName>
    <definedName name="gfrt" localSheetId="6">#REF!</definedName>
    <definedName name="gfrt" localSheetId="7">#REF!</definedName>
    <definedName name="gfrt" localSheetId="8">#REF!</definedName>
    <definedName name="gfrt" localSheetId="9">#REF!</definedName>
    <definedName name="gfrt">#REF!</definedName>
    <definedName name="gg">#REF!</definedName>
    <definedName name="ggg">#REF!</definedName>
    <definedName name="GIU">#REF!</definedName>
    <definedName name="gj">#REF!</definedName>
    <definedName name="GT">#REF!</definedName>
    <definedName name="h_amplas_biasa">[10]harga!$D$14</definedName>
    <definedName name="h_amplas_niken">[23]harga!$D$15</definedName>
    <definedName name="h_batu_bata_lubang">[10]harga!$D$16</definedName>
    <definedName name="h_batu_kali">#REF!</definedName>
    <definedName name="h_besi_beton">[10]harga!$D$18</definedName>
    <definedName name="h_bubungan_genteng_beton">[10]harga!#REF!</definedName>
    <definedName name="h_cat_dasar">[23]harga!$D$20</definedName>
    <definedName name="h_cat_kilat">[23]harga!$D$21</definedName>
    <definedName name="h_cat_meni_nippon">[23]harga!$D$22</definedName>
    <definedName name="h_cat_tembok">[10]harga!$D$22</definedName>
    <definedName name="h_folding_gate">#REF!</definedName>
    <definedName name="h_genteng_beton_lokal">[10]harga!#REF!</definedName>
    <definedName name="h_grendel">[10]harga!#REF!</definedName>
    <definedName name="h_hand_rail">#REF!</definedName>
    <definedName name="h_jendela_type_j1">#REF!</definedName>
    <definedName name="h_kawat_pengikat">[10]harga!$D$25</definedName>
    <definedName name="h_kayu_gelam">[10]harga!$D$26</definedName>
    <definedName name="h_kayu_kasau_5_7">#REF!</definedName>
    <definedName name="h_kayu_klas_ii">[23]harga!$D$28</definedName>
    <definedName name="h_kayu_klas_iii">#REF!</definedName>
    <definedName name="h_kayu_klas_iv">[10]harga!$D$29</definedName>
    <definedName name="h_kepala_tukang">[10]harga!$D$10</definedName>
    <definedName name="h_keramik_30_30">[10]harga!$D$30</definedName>
    <definedName name="h_koral_beton">[10]harga!$D$31</definedName>
    <definedName name="h_kusen_type_j1">#REF!</definedName>
    <definedName name="h_kusen_type_j2">#REF!</definedName>
    <definedName name="h_kusen_type_j4">#REF!</definedName>
    <definedName name="h_kusen_type_p1">#REF!</definedName>
    <definedName name="h_kusen_type_p2">#REF!</definedName>
    <definedName name="h_kusen_type_v2">#REF!</definedName>
    <definedName name="h_kusen_type_v3">#REF!</definedName>
    <definedName name="h_list_profil">[10]harga!#REF!</definedName>
    <definedName name="h_mandor">[10]harga!$D$12</definedName>
    <definedName name="h_minyak_cat">[23]harga!$D$34</definedName>
    <definedName name="h_paku_asbes">[10]harga!#REF!</definedName>
    <definedName name="h_paku_bermacam_macam_ukuran">#REF!</definedName>
    <definedName name="h_paku_beton">#REF!</definedName>
    <definedName name="h_paku_biasa">[10]harga!$D$42</definedName>
    <definedName name="h_paku_plywood">[10]harga!#REF!</definedName>
    <definedName name="h_paku_seng">[10]harga!#REF!</definedName>
    <definedName name="h_pasir_pasang">[10]harga!$D$43</definedName>
    <definedName name="h_pasir_urug">[10]harga!$D$44</definedName>
    <definedName name="h_pekerja">[10]harga!$D$11</definedName>
    <definedName name="h_perekat">[10]harga!$D$45</definedName>
    <definedName name="h_pintu_type_p1">#REF!</definedName>
    <definedName name="h_pintu_type_p2">#REF!</definedName>
    <definedName name="h_pipa_pvc_3">#REF!</definedName>
    <definedName name="h_pipa_pvc_4">#REF!</definedName>
    <definedName name="h_plamir_kayu">[23]harga!$D$46</definedName>
    <definedName name="h_plamir_tembok">[10]harga!$D$52</definedName>
    <definedName name="h_plywood_3mm">#REF!</definedName>
    <definedName name="h_plywood_4mm">[23]harga!$D$49</definedName>
    <definedName name="h_semen">[10]harga!$D$56</definedName>
    <definedName name="h_semen_putih">#REF!</definedName>
    <definedName name="h_seng_7kaki">#REF!</definedName>
    <definedName name="h_seng_gelombang">[10]harga!#REF!</definedName>
    <definedName name="h_seng_plat">[10]harga!#REF!</definedName>
    <definedName name="h_split">#REF!</definedName>
    <definedName name="h_steiger">[23]harga!$D$58</definedName>
    <definedName name="h_tanah_puru">#REF!</definedName>
    <definedName name="h_tanah_urug">[10]harga!$D$58</definedName>
    <definedName name="h_ter">#REF!</definedName>
    <definedName name="h_thinner">#REF!</definedName>
    <definedName name="h_tukang">[10]harga!$D$9</definedName>
    <definedName name="HAJIME">#REF!</definedName>
    <definedName name="hERO">[24]Pipe!$A$12:$I$34</definedName>
    <definedName name="hERO_aNADUCT">[24]Pipe!$A$1:$IV$10</definedName>
    <definedName name="hghh" localSheetId="4">STOP2:STOP2E</definedName>
    <definedName name="hghh" localSheetId="5">[0]!STOP2:[0]!STOP2E</definedName>
    <definedName name="hghh" localSheetId="6">[0]!STOP2:[0]!STOP2E</definedName>
    <definedName name="hghh" localSheetId="7">[0]!STOP2:[0]!STOP2E</definedName>
    <definedName name="hghh" localSheetId="8">[0]!STOP2:[0]!STOP2E</definedName>
    <definedName name="hghh" localSheetId="9">[0]!STOP2:[0]!STOP2E</definedName>
    <definedName name="hghh">STOP2:STOP2E</definedName>
    <definedName name="hh">'[25]Mat Tower'!$C$10</definedName>
    <definedName name="hhh">[26]harga!$D$41</definedName>
    <definedName name="hrs">#REF!</definedName>
    <definedName name="ht">#REF!</definedName>
    <definedName name="ii">#REF!</definedName>
    <definedName name="iii" hidden="1">[27]BILL!#REF!</definedName>
    <definedName name="iko" localSheetId="4">HAJIME:OWARI</definedName>
    <definedName name="iko" localSheetId="5">[0]!HAJIME:[0]!OWARI</definedName>
    <definedName name="iko" localSheetId="6">[0]!HAJIME:[0]!OWARI</definedName>
    <definedName name="iko" localSheetId="7">[0]!HAJIME:[0]!OWARI</definedName>
    <definedName name="iko" localSheetId="8">[0]!HAJIME:[0]!OWARI</definedName>
    <definedName name="iko" localSheetId="9">[0]!HAJIME:[0]!OWARI</definedName>
    <definedName name="iko">HAJIME:OWARI</definedName>
    <definedName name="include_kontrak" localSheetId="4">#REF!</definedName>
    <definedName name="include_kontrak" localSheetId="5">#REF!</definedName>
    <definedName name="include_kontrak" localSheetId="6">#REF!</definedName>
    <definedName name="include_kontrak" localSheetId="7">#REF!</definedName>
    <definedName name="include_kontrak" localSheetId="8">#REF!</definedName>
    <definedName name="include_kontrak" localSheetId="9">#REF!</definedName>
    <definedName name="include_kontrak">#REF!</definedName>
    <definedName name="ini" localSheetId="4">#REF!</definedName>
    <definedName name="ini" localSheetId="5">#REF!</definedName>
    <definedName name="ini" localSheetId="6">#REF!</definedName>
    <definedName name="ini" localSheetId="7">#REF!</definedName>
    <definedName name="ini" localSheetId="8">#REF!</definedName>
    <definedName name="ini" localSheetId="9">#REF!</definedName>
    <definedName name="ini">#REF!</definedName>
    <definedName name="Installation">#REF!</definedName>
    <definedName name="INSU">#REF!</definedName>
    <definedName name="iop">#REF!</definedName>
    <definedName name="ITEM">#REF!</definedName>
    <definedName name="itu">#REF!</definedName>
    <definedName name="JEMBER_BUKIT">#REF!</definedName>
    <definedName name="JJ">#REF!</definedName>
    <definedName name="jtrjtm">[13]Validation!$M$5:$M$7</definedName>
    <definedName name="kan">#REF!</definedName>
    <definedName name="kawat_pengikat">[8]harga!$D$29</definedName>
    <definedName name="kayu_gelam">[8]harga!$D$30</definedName>
    <definedName name="kayu_klas_iv">[8]harga!$D$33</definedName>
    <definedName name="KENEK_TRUK">#REF!</definedName>
    <definedName name="kepala_tukang">[8]harga!$D$12</definedName>
    <definedName name="KEPALA_TUKANG_BATU">#REF!</definedName>
    <definedName name="KEPALA_TUKANG_BESI_BETON">#REF!</definedName>
    <definedName name="KEPALA_TUKANG_BESI_PROFIL">#REF!</definedName>
    <definedName name="KEPALA_TUKANG_CAT___PELITUR">#REF!</definedName>
    <definedName name="KEPALA_TUKANG_KAYU">#REF!</definedName>
    <definedName name="KETINTANG_1">#REF!</definedName>
    <definedName name="KETINTANG_2">#REF!</definedName>
    <definedName name="KETINTANG_3">#REF!</definedName>
    <definedName name="KETINTANG_4">#REF!</definedName>
    <definedName name="kgp">7700</definedName>
    <definedName name="KHJ" localSheetId="4">HAJIME:OWARI</definedName>
    <definedName name="KHJ" localSheetId="5">[0]!HAJIME:[0]!OWARI</definedName>
    <definedName name="KHJ" localSheetId="6">[0]!HAJIME:[0]!OWARI</definedName>
    <definedName name="KHJ" localSheetId="7">[0]!HAJIME:[0]!OWARI</definedName>
    <definedName name="KHJ" localSheetId="8">[0]!HAJIME:[0]!OWARI</definedName>
    <definedName name="KHJ" localSheetId="9">[0]!HAJIME:[0]!OWARI</definedName>
    <definedName name="KHJ">HAJIME:OWARI</definedName>
    <definedName name="kki" localSheetId="4">HAJIME:OWARI</definedName>
    <definedName name="kki" localSheetId="5">[0]!HAJIME:[0]!OWARI</definedName>
    <definedName name="kki" localSheetId="6">[0]!HAJIME:[0]!OWARI</definedName>
    <definedName name="kki" localSheetId="7">[0]!HAJIME:[0]!OWARI</definedName>
    <definedName name="kki" localSheetId="8">[0]!HAJIME:[0]!OWARI</definedName>
    <definedName name="kki" localSheetId="9">[0]!HAJIME:[0]!OWARI</definedName>
    <definedName name="kki">HAJIME:OWARI</definedName>
    <definedName name="KNF" localSheetId="4">'[28]B - Norelec'!#REF!</definedName>
    <definedName name="KNF" localSheetId="5">'[28]B - Norelec'!#REF!</definedName>
    <definedName name="KNF" localSheetId="6">'[28]B - Norelec'!#REF!</definedName>
    <definedName name="KNF" localSheetId="7">'[28]B - Norelec'!#REF!</definedName>
    <definedName name="KNF" localSheetId="8">'[28]B - Norelec'!#REF!</definedName>
    <definedName name="KNF" localSheetId="9">'[28]B - Norelec'!#REF!</definedName>
    <definedName name="KNF">'[28]B - Norelec'!#REF!</definedName>
    <definedName name="KOP" localSheetId="4">#REF!</definedName>
    <definedName name="KOP" localSheetId="5">#REF!</definedName>
    <definedName name="KOP" localSheetId="6">#REF!</definedName>
    <definedName name="KOP" localSheetId="7">#REF!</definedName>
    <definedName name="KOP" localSheetId="8">#REF!</definedName>
    <definedName name="KOP" localSheetId="9">#REF!</definedName>
    <definedName name="KOP">#REF!</definedName>
    <definedName name="koral_beton">[8]harga!$D$35</definedName>
    <definedName name="KT">#REF!</definedName>
    <definedName name="kuiu">#REF!</definedName>
    <definedName name="l">#REF!</definedName>
    <definedName name="L100x10">'[6]Mat Tower'!$C$17</definedName>
    <definedName name="L120x12">'[6]Mat Tower'!$C$18</definedName>
    <definedName name="L125x12">#REF!</definedName>
    <definedName name="L130x12">#REF!</definedName>
    <definedName name="L150x12">#REF!</definedName>
    <definedName name="L150x15">#REF!</definedName>
    <definedName name="L175x15">#REF!</definedName>
    <definedName name="L200x15">#REF!</definedName>
    <definedName name="L200x20">#REF!</definedName>
    <definedName name="L40x4">'[6]Mat Tower'!$C$9</definedName>
    <definedName name="L50x5">'[6]Mat Tower'!$C$10</definedName>
    <definedName name="L60x6">'[6]Mat Tower'!$C$11</definedName>
    <definedName name="L65x6">#REF!</definedName>
    <definedName name="L70x7">'[6]Mat Tower'!$C$13</definedName>
    <definedName name="L75x7">#REF!</definedName>
    <definedName name="L80x8">'[6]Mat Tower'!$C$15</definedName>
    <definedName name="L90x9">'[6]Mat Tower'!$C$16</definedName>
    <definedName name="LABO">#REF!</definedName>
    <definedName name="lll">#REF!</definedName>
    <definedName name="LOAD">#REF!</definedName>
    <definedName name="lookup">[29]lookup!$B$3:$H$128</definedName>
    <definedName name="M">#REF!</definedName>
    <definedName name="M_E">#REF!</definedName>
    <definedName name="M_E_del">#REF!</definedName>
    <definedName name="M10x20">#REF!</definedName>
    <definedName name="M10x25">#REF!</definedName>
    <definedName name="M10x30">#REF!</definedName>
    <definedName name="M10x35">#REF!</definedName>
    <definedName name="M10x40">#REF!</definedName>
    <definedName name="M10x45">#REF!</definedName>
    <definedName name="M10x50">#REF!</definedName>
    <definedName name="M10x55">#REF!</definedName>
    <definedName name="M10x60">#REF!</definedName>
    <definedName name="M10x65">#REF!</definedName>
    <definedName name="M10x70">#REF!</definedName>
    <definedName name="M12x100">#REF!</definedName>
    <definedName name="M12x20">#REF!</definedName>
    <definedName name="M12x25">#REF!</definedName>
    <definedName name="M12x30">#REF!</definedName>
    <definedName name="M12x35">#REF!</definedName>
    <definedName name="M12x40">#REF!</definedName>
    <definedName name="M12x45">#REF!</definedName>
    <definedName name="M12x50">#REF!</definedName>
    <definedName name="M12x55">#REF!</definedName>
    <definedName name="M12x60">#REF!</definedName>
    <definedName name="M12x65">#REF!</definedName>
    <definedName name="M12x70">#REF!</definedName>
    <definedName name="M12x75">#REF!</definedName>
    <definedName name="M12x80">#REF!</definedName>
    <definedName name="M12x85">#REF!</definedName>
    <definedName name="M12x90">#REF!</definedName>
    <definedName name="M12x95">#REF!</definedName>
    <definedName name="M16x100">#REF!</definedName>
    <definedName name="M16x110">#REF!</definedName>
    <definedName name="M16x120">#REF!</definedName>
    <definedName name="M16x130">#REF!</definedName>
    <definedName name="M16x140">#REF!</definedName>
    <definedName name="M16x150">#REF!</definedName>
    <definedName name="M16x30">#REF!</definedName>
    <definedName name="M16x35">#REF!</definedName>
    <definedName name="M16x40">#REF!</definedName>
    <definedName name="M16x45">#REF!</definedName>
    <definedName name="M16x50">#REF!</definedName>
    <definedName name="M16x55">#REF!</definedName>
    <definedName name="M16x60">#REF!</definedName>
    <definedName name="M16x65">#REF!</definedName>
    <definedName name="M16x70">#REF!</definedName>
    <definedName name="M16x75">#REF!</definedName>
    <definedName name="M16x80">#REF!</definedName>
    <definedName name="M16x85">#REF!</definedName>
    <definedName name="M16x90">#REF!</definedName>
    <definedName name="M16x95">#REF!</definedName>
    <definedName name="M20x100">#REF!</definedName>
    <definedName name="M20x110">#REF!</definedName>
    <definedName name="M20x120">#REF!</definedName>
    <definedName name="M20x130">#REF!</definedName>
    <definedName name="M20x140">#REF!</definedName>
    <definedName name="M20x150">#REF!</definedName>
    <definedName name="M20x160">#REF!</definedName>
    <definedName name="M20x170">#REF!</definedName>
    <definedName name="M20x180">#REF!</definedName>
    <definedName name="M20x190">#REF!</definedName>
    <definedName name="M20x200">#REF!</definedName>
    <definedName name="M20x40">#REF!</definedName>
    <definedName name="M20x45">#REF!</definedName>
    <definedName name="M20x50">#REF!</definedName>
    <definedName name="M20x55">#REF!</definedName>
    <definedName name="M20x60">#REF!</definedName>
    <definedName name="M20x65">#REF!</definedName>
    <definedName name="M20x70">#REF!</definedName>
    <definedName name="M20x75">#REF!</definedName>
    <definedName name="M20x80">#REF!</definedName>
    <definedName name="M20x85">#REF!</definedName>
    <definedName name="M20x90">#REF!</definedName>
    <definedName name="M20x95">#REF!</definedName>
    <definedName name="M22x100">#REF!</definedName>
    <definedName name="M22x110">#REF!</definedName>
    <definedName name="M22x120">#REF!</definedName>
    <definedName name="M22x130">#REF!</definedName>
    <definedName name="M22x140">#REF!</definedName>
    <definedName name="M22x150">#REF!</definedName>
    <definedName name="M22x160">#REF!</definedName>
    <definedName name="M22x170">#REF!</definedName>
    <definedName name="M22x180">#REF!</definedName>
    <definedName name="M22x190">#REF!</definedName>
    <definedName name="M22x200">#REF!</definedName>
    <definedName name="M22x40">#REF!</definedName>
    <definedName name="M22x45">#REF!</definedName>
    <definedName name="M22x50">#REF!</definedName>
    <definedName name="M22x55">#REF!</definedName>
    <definedName name="M22x60">#REF!</definedName>
    <definedName name="M22x65">#REF!</definedName>
    <definedName name="M22x70">#REF!</definedName>
    <definedName name="M22x75">#REF!</definedName>
    <definedName name="M22x80">#REF!</definedName>
    <definedName name="M22x85">#REF!</definedName>
    <definedName name="M22x90">#REF!</definedName>
    <definedName name="M22x95">#REF!</definedName>
    <definedName name="M24x100">#REF!</definedName>
    <definedName name="M24x110">#REF!</definedName>
    <definedName name="M24x120">#REF!</definedName>
    <definedName name="M24x130">#REF!</definedName>
    <definedName name="M24x140">#REF!</definedName>
    <definedName name="M24x150">#REF!</definedName>
    <definedName name="M24x160">#REF!</definedName>
    <definedName name="M24x170">#REF!</definedName>
    <definedName name="M24x180">#REF!</definedName>
    <definedName name="M24x190">#REF!</definedName>
    <definedName name="M24x200">#REF!</definedName>
    <definedName name="M24x50">#REF!</definedName>
    <definedName name="M24x55">#REF!</definedName>
    <definedName name="M24x60">#REF!</definedName>
    <definedName name="M24x65">#REF!</definedName>
    <definedName name="M24x70">#REF!</definedName>
    <definedName name="M24x75">#REF!</definedName>
    <definedName name="M24x80">#REF!</definedName>
    <definedName name="M24x85">#REF!</definedName>
    <definedName name="M24x90">#REF!</definedName>
    <definedName name="M24x95">#REF!</definedName>
    <definedName name="MADIUN_1">#REF!</definedName>
    <definedName name="MADIUN_2">#REF!</definedName>
    <definedName name="MADIUN_3">#REF!</definedName>
    <definedName name="MALANG_1">#REF!</definedName>
    <definedName name="mandor">[8]harga!$D$14</definedName>
    <definedName name="MANYAR_1">#REF!</definedName>
    <definedName name="MANYAR_2">#REF!</definedName>
    <definedName name="MANYAR_3">#REF!</definedName>
    <definedName name="MARET">#REF!</definedName>
    <definedName name="mechelec">[7]Validation!$E$1:$E$18</definedName>
    <definedName name="mek">'[20]Rekapsub-total-ME'!$W$3</definedName>
    <definedName name="Member">#REF!</definedName>
    <definedName name="MISC">#REF!</definedName>
    <definedName name="MKK">#REF!</definedName>
    <definedName name="mnt">#REF!</definedName>
    <definedName name="mountlist">'[30]Material Mounting'!$B$10:$N$60</definedName>
    <definedName name="MOUNTLST">'[31]Lampiran MTO'!$B$12:$W$91</definedName>
    <definedName name="mu">'[32]Rekap-ME'!$H$1</definedName>
    <definedName name="Networkoperator">[33]Factors!$B$5</definedName>
    <definedName name="NIPS">#REF!</definedName>
    <definedName name="NIPSEA">#REF!</definedName>
    <definedName name="NOIFS">#REF!</definedName>
    <definedName name="NOIP">#REF!</definedName>
    <definedName name="NOIT">#REF!</definedName>
    <definedName name="NOMFS">#REF!</definedName>
    <definedName name="NOMP">#REF!</definedName>
    <definedName name="NOMT">#REF!</definedName>
    <definedName name="non_gprs">#REF!</definedName>
    <definedName name="NYA1C">#REF!</definedName>
    <definedName name="NYM2C">#REF!</definedName>
    <definedName name="ONU">[34]Allowance!$B$9</definedName>
    <definedName name="OPERATOR_ALAT_BESAR">#REF!</definedName>
    <definedName name="OPT_ISD">#REF!</definedName>
    <definedName name="Othr_expense_Mat">#REF!</definedName>
    <definedName name="OUT">#REF!</definedName>
    <definedName name="ovh">[11]DETAIL!#REF!</definedName>
    <definedName name="OWARI">#REF!</definedName>
    <definedName name="p">0.92</definedName>
    <definedName name="p_d">#REF!</definedName>
    <definedName name="p_d1">#REF!</definedName>
    <definedName name="PAIN">#REF!</definedName>
    <definedName name="paku_biasa">[8]harga!$D$41</definedName>
    <definedName name="Pangaji">#REF!</definedName>
    <definedName name="PAPAR">#REF!</definedName>
    <definedName name="PAPAR_2">#REF!</definedName>
    <definedName name="pasir_pasang">[8]harga!$D$44</definedName>
    <definedName name="pasir_urug">[8]harga!$D$45</definedName>
    <definedName name="PB3_2">#REF!</definedName>
    <definedName name="pekerja">[8]harga!$D$13</definedName>
    <definedName name="PEKERJA_SETENGAH_TERAMPIL">#REF!</definedName>
    <definedName name="PEKERJA_TERAMPIL">#REF!</definedName>
    <definedName name="PEMBANTU_OPERATOR___MEKANIK">#REF!</definedName>
    <definedName name="PENJAGA_MALAM">#REF!</definedName>
    <definedName name="PF_S">#REF!</definedName>
    <definedName name="PIL">#REF!</definedName>
    <definedName name="pilecap">[13]Validation!$J$1:$J$13</definedName>
    <definedName name="PIP">#REF!</definedName>
    <definedName name="PIPE">#REF!</definedName>
    <definedName name="Pivot">[29]Pivot!$A$4:$E$109</definedName>
    <definedName name="pln">[35]Validation!$G$1:$G$8</definedName>
    <definedName name="PLN_del">#REF!</definedName>
    <definedName name="plnpole">[13]Validation!$M$1:$M$4</definedName>
    <definedName name="PLP">#REF!</definedName>
    <definedName name="Position">#REF!</definedName>
    <definedName name="possatpam">[13]Validation!$N$1:$N$3</definedName>
    <definedName name="powerhouse">[7]Validation!$I$1:$I$6</definedName>
    <definedName name="_xlnm.Print_Area" localSheetId="3">'CHECKLIS MK B2S'!$A$1:$H$43</definedName>
    <definedName name="_xlnm.Print_Area" localSheetId="15">'MOS &amp; ERECTION'!$A$1:$K$59</definedName>
    <definedName name="_xlnm.Print_Area" localSheetId="17">'PELAKSANAAN ATP'!$A$1:$K$218</definedName>
    <definedName name="_xlnm.Print_Area" localSheetId="14">'PENGECORAN SITE'!$A$1:$K$73</definedName>
    <definedName name="_xlnm.Print_Area" localSheetId="11">SKOM!$A$1:$K$42</definedName>
    <definedName name="_xlnm.Print_Area" localSheetId="0">'Stacking Shelter Checklist'!$A$1:$V$63</definedName>
    <definedName name="_xlnm.Print_Area">#REF!</definedName>
    <definedName name="Print_Area_MI">#REF!</definedName>
    <definedName name="_xlnm.Print_Titles" localSheetId="15">'MOS &amp; ERECTION'!$1:$6</definedName>
    <definedName name="_xlnm.Print_Titles" localSheetId="17">'PELAKSANAAN ATP'!$1:$6</definedName>
    <definedName name="_xlnm.Print_Titles" localSheetId="14">'PENGECORAN SITE'!$1:$6</definedName>
    <definedName name="_xlnm.Print_Titles">#REF!</definedName>
    <definedName name="Print_Titles_MI">#REF!</definedName>
    <definedName name="PUP">#REF!</definedName>
    <definedName name="q_wo_det">#REF!</definedName>
    <definedName name="qw" localSheetId="4">HAJIME:OWARI</definedName>
    <definedName name="qw" localSheetId="5">[0]!HAJIME:[0]!OWARI</definedName>
    <definedName name="qw" localSheetId="6">[0]!HAJIME:[0]!OWARI</definedName>
    <definedName name="qw" localSheetId="7">[0]!HAJIME:[0]!OWARI</definedName>
    <definedName name="qw" localSheetId="8">[0]!HAJIME:[0]!OWARI</definedName>
    <definedName name="qw" localSheetId="9">[0]!HAJIME:[0]!OWARI</definedName>
    <definedName name="qw">HAJIME:OWARI</definedName>
    <definedName name="r_pekerjaan_atap" localSheetId="4">[10]rab!#REF!</definedName>
    <definedName name="r_pekerjaan_atap" localSheetId="5">[10]rab!#REF!</definedName>
    <definedName name="r_pekerjaan_atap" localSheetId="6">[10]rab!#REF!</definedName>
    <definedName name="r_pekerjaan_atap" localSheetId="7">[10]rab!#REF!</definedName>
    <definedName name="r_pekerjaan_atap" localSheetId="8">[10]rab!#REF!</definedName>
    <definedName name="r_pekerjaan_atap" localSheetId="9">[10]rab!#REF!</definedName>
    <definedName name="r_pekerjaan_atap">[10]rab!#REF!</definedName>
    <definedName name="r_pekerjaan_plafond_dan_rangka" localSheetId="4">[10]rab!#REF!</definedName>
    <definedName name="r_pekerjaan_plafond_dan_rangka" localSheetId="5">[10]rab!#REF!</definedName>
    <definedName name="r_pekerjaan_plafond_dan_rangka" localSheetId="6">[10]rab!#REF!</definedName>
    <definedName name="r_pekerjaan_plafond_dan_rangka" localSheetId="7">[10]rab!#REF!</definedName>
    <definedName name="r_pekerjaan_plafond_dan_rangka" localSheetId="8">[10]rab!#REF!</definedName>
    <definedName name="r_pekerjaan_plafond_dan_rangka" localSheetId="9">[10]rab!#REF!</definedName>
    <definedName name="r_pekerjaan_plafond_dan_rangka">[10]rab!#REF!</definedName>
    <definedName name="r_pekerjaan_saluran" localSheetId="4">[10]rab!#REF!</definedName>
    <definedName name="r_pekerjaan_saluran" localSheetId="5">[10]rab!#REF!</definedName>
    <definedName name="r_pekerjaan_saluran" localSheetId="6">[10]rab!#REF!</definedName>
    <definedName name="r_pekerjaan_saluran" localSheetId="7">[10]rab!#REF!</definedName>
    <definedName name="r_pekerjaan_saluran" localSheetId="8">[10]rab!#REF!</definedName>
    <definedName name="r_pekerjaan_saluran" localSheetId="9">[10]rab!#REF!</definedName>
    <definedName name="r_pekerjaan_saluran">[10]rab!#REF!</definedName>
    <definedName name="RAB">[7]Validation!$A$29:$A$31</definedName>
    <definedName name="RadAccess_Infra">#REF!</definedName>
    <definedName name="RATE">#REF!</definedName>
    <definedName name="RDU">#REF!</definedName>
    <definedName name="rectifier">#REF!</definedName>
    <definedName name="ref_tab">#REF!</definedName>
    <definedName name="reh">[23]harga!$D$28</definedName>
    <definedName name="rekbahan">#REF!</definedName>
    <definedName name="RESULT">#REF!</definedName>
    <definedName name="RET">#REF!</definedName>
    <definedName name="RFSL">#REF!</definedName>
    <definedName name="RFT" hidden="1">#REF!</definedName>
    <definedName name="RINSU">#REF!</definedName>
    <definedName name="RLABO">#REF!</definedName>
    <definedName name="RMISC">#REF!</definedName>
    <definedName name="ROUNDL">#REF!</definedName>
    <definedName name="ROUNDM">#REF!</definedName>
    <definedName name="RPAIN">#REF!</definedName>
    <definedName name="rr">#REF!</definedName>
    <definedName name="rrr">#REF!</definedName>
    <definedName name="RSLEE">#REF!</definedName>
    <definedName name="rsrrr">#REF!</definedName>
    <definedName name="RSUBT">#REF!</definedName>
    <definedName name="RSUM1">#REF!</definedName>
    <definedName name="RSUM2">#REF!</definedName>
    <definedName name="RSUM3">#REF!</definedName>
    <definedName name="RTEST">#REF!</definedName>
    <definedName name="rtrt">#REF!</definedName>
    <definedName name="ry">#REF!</definedName>
    <definedName name="s">#REF!</definedName>
    <definedName name="S.21">#REF!</definedName>
    <definedName name="S.23">#REF!</definedName>
    <definedName name="S.24">#REF!</definedName>
    <definedName name="S.25">#REF!</definedName>
    <definedName name="S.26">#REF!</definedName>
    <definedName name="S.BARU">#REF!</definedName>
    <definedName name="S.LAMA.A">#REF!</definedName>
    <definedName name="S.LAMA.B">#REF!</definedName>
    <definedName name="S.LAMA.C">#REF!</definedName>
    <definedName name="SA.1">#REF!</definedName>
    <definedName name="SA.10">#REF!</definedName>
    <definedName name="SA.11">#REF!</definedName>
    <definedName name="SA.12">#REF!</definedName>
    <definedName name="SA.13">#REF!</definedName>
    <definedName name="SA.14">#REF!</definedName>
    <definedName name="SA.2">#REF!</definedName>
    <definedName name="SA.3">#REF!</definedName>
    <definedName name="SA.4">#REF!</definedName>
    <definedName name="SA.5">#REF!</definedName>
    <definedName name="SA.6">#REF!</definedName>
    <definedName name="SA.7">#REF!</definedName>
    <definedName name="SA.8">#REF!</definedName>
    <definedName name="SA.9">#REF!</definedName>
    <definedName name="SAWOJAJAR">#REF!</definedName>
    <definedName name="SAWOJAJAR_2">#REF!</definedName>
    <definedName name="SB.1">#REF!</definedName>
    <definedName name="SB.2">#REF!</definedName>
    <definedName name="SB.3">#REF!</definedName>
    <definedName name="SB.4">#REF!</definedName>
    <definedName name="SB.5">#REF!</definedName>
    <definedName name="SC.1">#REF!</definedName>
    <definedName name="SCH40_05">#REF!</definedName>
    <definedName name="SCH40_075">#REF!</definedName>
    <definedName name="SCH40_1">#REF!</definedName>
    <definedName name="SCH40_1025">#REF!</definedName>
    <definedName name="SCH40_105">#REF!</definedName>
    <definedName name="SCH40_12">#REF!</definedName>
    <definedName name="SCH40_14">#REF!</definedName>
    <definedName name="SCH40_16">#REF!</definedName>
    <definedName name="SCH40_2">#REF!</definedName>
    <definedName name="SCH40_205">#REF!</definedName>
    <definedName name="SCH40_3">#REF!</definedName>
    <definedName name="SCH40_4">#REF!</definedName>
    <definedName name="SCH40_5">#REF!</definedName>
    <definedName name="SCH40_6">#REF!</definedName>
    <definedName name="SCH40_8">#REF!</definedName>
    <definedName name="SCH40_9">#REF!</definedName>
    <definedName name="semen">[8]harga!$D$54</definedName>
    <definedName name="ser" localSheetId="4">HAJIME:OWARI</definedName>
    <definedName name="ser" localSheetId="5">[0]!HAJIME:[0]!OWARI</definedName>
    <definedName name="ser" localSheetId="6">[0]!HAJIME:[0]!OWARI</definedName>
    <definedName name="ser" localSheetId="7">[0]!HAJIME:[0]!OWARI</definedName>
    <definedName name="ser" localSheetId="8">[0]!HAJIME:[0]!OWARI</definedName>
    <definedName name="ser" localSheetId="9">[0]!HAJIME:[0]!OWARI</definedName>
    <definedName name="ser">HAJIME:OWARI</definedName>
    <definedName name="service_rect" localSheetId="4">#REF!</definedName>
    <definedName name="service_rect" localSheetId="5">#REF!</definedName>
    <definedName name="service_rect" localSheetId="6">#REF!</definedName>
    <definedName name="service_rect" localSheetId="7">#REF!</definedName>
    <definedName name="service_rect" localSheetId="8">#REF!</definedName>
    <definedName name="service_rect" localSheetId="9">#REF!</definedName>
    <definedName name="service_rect">#REF!</definedName>
    <definedName name="SETOFBOOKSNAME2">[14]CRITERIA2!$B$2</definedName>
    <definedName name="sf">1.3</definedName>
    <definedName name="SFL">#REF!</definedName>
    <definedName name="sfsf">#REF!</definedName>
    <definedName name="sfw" localSheetId="4">HAJIME:OWARI</definedName>
    <definedName name="sfw" localSheetId="5">[0]!HAJIME:[0]!OWARI</definedName>
    <definedName name="sfw" localSheetId="6">[0]!HAJIME:[0]!OWARI</definedName>
    <definedName name="sfw" localSheetId="7">[0]!HAJIME:[0]!OWARI</definedName>
    <definedName name="sfw" localSheetId="8">[0]!HAJIME:[0]!OWARI</definedName>
    <definedName name="sfw" localSheetId="9">[0]!HAJIME:[0]!OWARI</definedName>
    <definedName name="sfw">HAJIME:OWARI</definedName>
    <definedName name="shelter" localSheetId="4">#REF!</definedName>
    <definedName name="shelter" localSheetId="5">#REF!</definedName>
    <definedName name="shelter" localSheetId="6">#REF!</definedName>
    <definedName name="shelter" localSheetId="7">#REF!</definedName>
    <definedName name="shelter" localSheetId="8">#REF!</definedName>
    <definedName name="shelter" localSheetId="9">#REF!</definedName>
    <definedName name="shelter">#REF!</definedName>
    <definedName name="shelter_del" localSheetId="4">#REF!</definedName>
    <definedName name="shelter_del" localSheetId="5">#REF!</definedName>
    <definedName name="shelter_del" localSheetId="6">#REF!</definedName>
    <definedName name="shelter_del" localSheetId="7">#REF!</definedName>
    <definedName name="shelter_del" localSheetId="8">#REF!</definedName>
    <definedName name="shelter_del" localSheetId="9">#REF!</definedName>
    <definedName name="shelter_del">#REF!</definedName>
    <definedName name="shelterbaseframe">[7]Validation!$D$1:$D$3</definedName>
    <definedName name="sisipan">#REF!</definedName>
    <definedName name="site_list">#REF!</definedName>
    <definedName name="sj">#REF!</definedName>
    <definedName name="SLEE">#REF!</definedName>
    <definedName name="Sock1_075">#REF!</definedName>
    <definedName name="Sock2_1">#REF!</definedName>
    <definedName name="SOH">#REF!</definedName>
    <definedName name="source">'[36]Tower 61 Meter '!$Y$14:$AA$58</definedName>
    <definedName name="sqq" localSheetId="4">HAJIME:OWARI</definedName>
    <definedName name="sqq" localSheetId="5">[0]!HAJIME:[0]!OWARI</definedName>
    <definedName name="sqq" localSheetId="6">[0]!HAJIME:[0]!OWARI</definedName>
    <definedName name="sqq" localSheetId="7">[0]!HAJIME:[0]!OWARI</definedName>
    <definedName name="sqq" localSheetId="8">[0]!HAJIME:[0]!OWARI</definedName>
    <definedName name="sqq" localSheetId="9">[0]!HAJIME:[0]!OWARI</definedName>
    <definedName name="sqq">HAJIME:OWARI</definedName>
    <definedName name="SSE" localSheetId="4">#REF!</definedName>
    <definedName name="SSE" localSheetId="5">#REF!</definedName>
    <definedName name="SSE" localSheetId="6">#REF!</definedName>
    <definedName name="SSE" localSheetId="7">#REF!</definedName>
    <definedName name="SSE" localSheetId="8">#REF!</definedName>
    <definedName name="SSE" localSheetId="9">#REF!</definedName>
    <definedName name="SSE">#REF!</definedName>
    <definedName name="ssf" localSheetId="4">#REF!</definedName>
    <definedName name="ssf" localSheetId="5">#REF!</definedName>
    <definedName name="ssf" localSheetId="6">#REF!</definedName>
    <definedName name="ssf" localSheetId="7">#REF!</definedName>
    <definedName name="ssf" localSheetId="8">#REF!</definedName>
    <definedName name="ssf" localSheetId="9">#REF!</definedName>
    <definedName name="ssf">#REF!</definedName>
    <definedName name="statusA">"TM1 2004"</definedName>
    <definedName name="statusB">"TM2 2004"</definedName>
    <definedName name="STOP">#REF!</definedName>
    <definedName name="STOP2">#REF!</definedName>
    <definedName name="STOP2E">#REF!</definedName>
    <definedName name="STOPE">#REF!</definedName>
    <definedName name="STR">#REF!</definedName>
    <definedName name="subs_f">#REF!</definedName>
    <definedName name="subs_target">[37]Forecast!$C$2:$N$7</definedName>
    <definedName name="SUBT">#REF!</definedName>
    <definedName name="Sulawesi_rev4">#REF!</definedName>
    <definedName name="SUM2A">#REF!</definedName>
    <definedName name="sumber">#REF!</definedName>
    <definedName name="SUMI">#REF!</definedName>
    <definedName name="Summ_RadAccess">#REF!</definedName>
    <definedName name="SUP">#REF!</definedName>
    <definedName name="SUPFS">#REF!</definedName>
    <definedName name="SUPIR_TRUK">#REF!</definedName>
    <definedName name="SUPT">#REF!</definedName>
    <definedName name="SURABAYA_1">#REF!</definedName>
    <definedName name="SURABAYA_3">#REF!</definedName>
    <definedName name="swa" localSheetId="4">HAJIME:OWARI</definedName>
    <definedName name="swa" localSheetId="5">[0]!HAJIME:[0]!OWARI</definedName>
    <definedName name="swa" localSheetId="6">[0]!HAJIME:[0]!OWARI</definedName>
    <definedName name="swa" localSheetId="7">[0]!HAJIME:[0]!OWARI</definedName>
    <definedName name="swa" localSheetId="8">[0]!HAJIME:[0]!OWARI</definedName>
    <definedName name="swa" localSheetId="9">[0]!HAJIME:[0]!OWARI</definedName>
    <definedName name="swa">HAJIME:OWARI</definedName>
    <definedName name="TABEL">'[6]Mat Tower'!$C$7:$L$279</definedName>
    <definedName name="table">#REF!</definedName>
    <definedName name="table2">#REF!</definedName>
    <definedName name="tanah_urug">[8]harga!$D$58</definedName>
    <definedName name="tank">#REF!</definedName>
    <definedName name="tank_del">#REF!</definedName>
    <definedName name="tbl_ref">#REF!</definedName>
    <definedName name="tdf">#REF!</definedName>
    <definedName name="TEST">#REF!</definedName>
    <definedName name="tfoundation">[7]Validation!$C$1:$C$13</definedName>
    <definedName name="tgb">'[25]Mat Tower'!$C$7:$L$279</definedName>
    <definedName name="th">#REF!</definedName>
    <definedName name="tinggi">#REF!</definedName>
    <definedName name="TK">#REF!</definedName>
    <definedName name="TOP">#REF!</definedName>
    <definedName name="towerheight">[7]Validation!$B$1:$B$23</definedName>
    <definedName name="towertype">[7]Validation!$A$1:$A$8</definedName>
    <definedName name="TRIALAUG_Sheet2_List">#REF!</definedName>
    <definedName name="TRL">#REF!</definedName>
    <definedName name="ttt">#REF!</definedName>
    <definedName name="tukang">[8]harga!$D$11</definedName>
    <definedName name="TUKANG_BATU_SETENGAH_TERAMPIL">#REF!</definedName>
    <definedName name="TUKANG_BATU_TERAMPIL">#REF!</definedName>
    <definedName name="TUKANG_BESI_BETON_SETENGAH_TERAMPIL">#REF!</definedName>
    <definedName name="TUKANG_BESI_BETON_TERAMPIL">#REF!</definedName>
    <definedName name="TUKANG_BESI_PROFIL_SETENGAH_TERAMPIL">#REF!</definedName>
    <definedName name="TUKANG_BESI_PROFIL_TERAMPIL">#REF!</definedName>
    <definedName name="TUKANG_CAT___PELITUR_SETENGAH_TERAMPIL">#REF!</definedName>
    <definedName name="TUKANG_CAT___PELITUR_TERAMPIL">#REF!</definedName>
    <definedName name="TUKANG_GALI">#REF!</definedName>
    <definedName name="TUKANG_KAYU_SETENGAH_TERAMPIL">#REF!</definedName>
    <definedName name="TUKANG_KAYU_TERAMPIL">#REF!</definedName>
    <definedName name="TUKANG_MEUBELAIR">#REF!</definedName>
    <definedName name="TUKANG_TAMAN">#REF!</definedName>
    <definedName name="UJI" localSheetId="4">STOP2:STOP2E</definedName>
    <definedName name="UJI" localSheetId="5">[0]!STOP2:[0]!STOP2E</definedName>
    <definedName name="UJI" localSheetId="6">[0]!STOP2:[0]!STOP2E</definedName>
    <definedName name="UJI" localSheetId="7">[0]!STOP2:[0]!STOP2E</definedName>
    <definedName name="UJI" localSheetId="8">[0]!STOP2:[0]!STOP2E</definedName>
    <definedName name="UJI" localSheetId="9">[0]!STOP2:[0]!STOP2E</definedName>
    <definedName name="UJI">STOP2:STOP2E</definedName>
    <definedName name="UPL" localSheetId="4">#REF!</definedName>
    <definedName name="UPL" localSheetId="5">#REF!</definedName>
    <definedName name="UPL" localSheetId="6">#REF!</definedName>
    <definedName name="UPL" localSheetId="7">#REF!</definedName>
    <definedName name="UPL" localSheetId="8">#REF!</definedName>
    <definedName name="UPL" localSheetId="9">#REF!</definedName>
    <definedName name="UPL">#REF!</definedName>
    <definedName name="USD" localSheetId="4">#REF!</definedName>
    <definedName name="USD" localSheetId="5">#REF!</definedName>
    <definedName name="USD" localSheetId="6">#REF!</definedName>
    <definedName name="USD" localSheetId="7">#REF!</definedName>
    <definedName name="USD" localSheetId="8">#REF!</definedName>
    <definedName name="USD" localSheetId="9">#REF!</definedName>
    <definedName name="USD">#REF!</definedName>
    <definedName name="V" localSheetId="4">'[28]B - Norelec'!#REF!</definedName>
    <definedName name="V" localSheetId="5">'[28]B - Norelec'!#REF!</definedName>
    <definedName name="V" localSheetId="6">'[28]B - Norelec'!#REF!</definedName>
    <definedName name="V" localSheetId="7">'[28]B - Norelec'!#REF!</definedName>
    <definedName name="V" localSheetId="8">'[28]B - Norelec'!#REF!</definedName>
    <definedName name="V" localSheetId="9">'[28]B - Norelec'!#REF!</definedName>
    <definedName name="V">'[28]B - Norelec'!#REF!</definedName>
    <definedName name="V_2">[38]Pipe!$A$12:$I$33</definedName>
    <definedName name="val">[39]Pipe!$A$12:$I$31</definedName>
    <definedName name="VUP">#REF!</definedName>
    <definedName name="VV">#REF!</definedName>
    <definedName name="W">#REF!</definedName>
    <definedName name="w_gprs">#REF!</definedName>
    <definedName name="was">#REF!</definedName>
    <definedName name="WDFWF" localSheetId="4">HAJIME:OWARI</definedName>
    <definedName name="WDFWF" localSheetId="5">[0]!HAJIME:[0]!OWARI</definedName>
    <definedName name="WDFWF" localSheetId="6">[0]!HAJIME:[0]!OWARI</definedName>
    <definedName name="WDFWF" localSheetId="7">[0]!HAJIME:[0]!OWARI</definedName>
    <definedName name="WDFWF" localSheetId="8">[0]!HAJIME:[0]!OWARI</definedName>
    <definedName name="WDFWF" localSheetId="9">[0]!HAJIME:[0]!OWARI</definedName>
    <definedName name="WDFWF">HAJIME:OWARI</definedName>
    <definedName name="wef" localSheetId="4">HAJIME:OWARI</definedName>
    <definedName name="wef" localSheetId="5">[0]!HAJIME:[0]!OWARI</definedName>
    <definedName name="wef" localSheetId="6">[0]!HAJIME:[0]!OWARI</definedName>
    <definedName name="wef" localSheetId="7">[0]!HAJIME:[0]!OWARI</definedName>
    <definedName name="wef" localSheetId="8">[0]!HAJIME:[0]!OWARI</definedName>
    <definedName name="wef" localSheetId="9">[0]!HAJIME:[0]!OWARI</definedName>
    <definedName name="wef">HAJIME:OWARI</definedName>
    <definedName name="wer" localSheetId="4">#REF!</definedName>
    <definedName name="wer" localSheetId="5">#REF!</definedName>
    <definedName name="wer" localSheetId="6">#REF!</definedName>
    <definedName name="wer" localSheetId="7">#REF!</definedName>
    <definedName name="wer" localSheetId="8">#REF!</definedName>
    <definedName name="wer" localSheetId="9">#REF!</definedName>
    <definedName name="wer">#REF!</definedName>
    <definedName name="WET" localSheetId="4">HAJIME:OWARI</definedName>
    <definedName name="WET" localSheetId="5">[0]!HAJIME:[0]!OWARI</definedName>
    <definedName name="WET" localSheetId="6">[0]!HAJIME:[0]!OWARI</definedName>
    <definedName name="WET" localSheetId="7">[0]!HAJIME:[0]!OWARI</definedName>
    <definedName name="WET" localSheetId="8">[0]!HAJIME:[0]!OWARI</definedName>
    <definedName name="WET" localSheetId="9">[0]!HAJIME:[0]!OWARI</definedName>
    <definedName name="WET">HAJIME:OWARI</definedName>
    <definedName name="wetwetwet" localSheetId="4">#REF!</definedName>
    <definedName name="wetwetwet" localSheetId="5">#REF!</definedName>
    <definedName name="wetwetwet" localSheetId="6">#REF!</definedName>
    <definedName name="wetwetwet" localSheetId="7">#REF!</definedName>
    <definedName name="wetwetwet" localSheetId="8">#REF!</definedName>
    <definedName name="wetwetwet" localSheetId="9">#REF!</definedName>
    <definedName name="wetwetwet">#REF!</definedName>
    <definedName name="wew" localSheetId="4">#REF!</definedName>
    <definedName name="wew" localSheetId="5">#REF!</definedName>
    <definedName name="wew" localSheetId="6">#REF!</definedName>
    <definedName name="wew" localSheetId="7">#REF!</definedName>
    <definedName name="wew" localSheetId="8">#REF!</definedName>
    <definedName name="wew" localSheetId="9">#REF!</definedName>
    <definedName name="wew">#REF!</definedName>
    <definedName name="WFF">#REF!</definedName>
    <definedName name="WFW">#REF!</definedName>
    <definedName name="wq">#REF!</definedName>
    <definedName name="wqdd">'[5]Mat Tower'!$C$16</definedName>
    <definedName name="wqdwqd" localSheetId="4">HAJIME:OWARI</definedName>
    <definedName name="wqdwqd" localSheetId="5">[0]!HAJIME:[0]!OWARI</definedName>
    <definedName name="wqdwqd" localSheetId="6">[0]!HAJIME:[0]!OWARI</definedName>
    <definedName name="wqdwqd" localSheetId="7">[0]!HAJIME:[0]!OWARI</definedName>
    <definedName name="wqdwqd" localSheetId="8">[0]!HAJIME:[0]!OWARI</definedName>
    <definedName name="wqdwqd" localSheetId="9">[0]!HAJIME:[0]!OWARI</definedName>
    <definedName name="wqdwqd">HAJIME:OWARI</definedName>
    <definedName name="wqff" localSheetId="4">HAJIME:OWARI</definedName>
    <definedName name="wqff" localSheetId="5">[0]!HAJIME:[0]!OWARI</definedName>
    <definedName name="wqff" localSheetId="6">[0]!HAJIME:[0]!OWARI</definedName>
    <definedName name="wqff" localSheetId="7">[0]!HAJIME:[0]!OWARI</definedName>
    <definedName name="wqff" localSheetId="8">[0]!HAJIME:[0]!OWARI</definedName>
    <definedName name="wqff" localSheetId="9">[0]!HAJIME:[0]!OWARI</definedName>
    <definedName name="wqff">HAJIME:OWARI</definedName>
    <definedName name="wr" localSheetId="4">#REF!</definedName>
    <definedName name="wr" localSheetId="5">#REF!</definedName>
    <definedName name="wr" localSheetId="6">#REF!</definedName>
    <definedName name="wr" localSheetId="7">#REF!</definedName>
    <definedName name="wr" localSheetId="8">#REF!</definedName>
    <definedName name="wr" localSheetId="9">#REF!</definedName>
    <definedName name="wr">#REF!</definedName>
    <definedName name="WSFWF" localSheetId="4">#REF!</definedName>
    <definedName name="WSFWF" localSheetId="5">#REF!</definedName>
    <definedName name="WSFWF" localSheetId="6">#REF!</definedName>
    <definedName name="WSFWF" localSheetId="7">#REF!</definedName>
    <definedName name="WSFWF" localSheetId="8">#REF!</definedName>
    <definedName name="WSFWF" localSheetId="9">#REF!</definedName>
    <definedName name="WSFWF">#REF!</definedName>
    <definedName name="x">#REF!</definedName>
    <definedName name="Z">#REF!</definedName>
    <definedName name="ZZ">#REF!</definedName>
    <definedName name="전">#REF!</definedName>
    <definedName name="주택사업본부">#REF!</definedName>
    <definedName name="철구사업본부">#REF!</definedName>
  </definedNames>
  <calcPr calcId="191029"/>
  <fileRecoveryPr autoRecover="0"/>
</workbook>
</file>

<file path=xl/calcChain.xml><?xml version="1.0" encoding="utf-8"?>
<calcChain xmlns="http://schemas.openxmlformats.org/spreadsheetml/2006/main">
  <c r="D7" i="61" l="1"/>
  <c r="D6" i="77" l="1"/>
  <c r="D5" i="77"/>
  <c r="D4" i="77"/>
  <c r="D5" i="61"/>
  <c r="D6" i="76"/>
  <c r="D5" i="76"/>
  <c r="D4" i="76"/>
  <c r="D4" i="73"/>
  <c r="D4" i="72"/>
  <c r="D4" i="71"/>
  <c r="D4" i="70"/>
  <c r="D5" i="73"/>
  <c r="D6" i="73"/>
  <c r="D5" i="72"/>
  <c r="D6" i="72"/>
  <c r="D5" i="71"/>
  <c r="D6" i="71"/>
  <c r="D5" i="70"/>
  <c r="D6" i="70"/>
  <c r="D5" i="25" l="1"/>
  <c r="A38" i="61"/>
  <c r="D6" i="61"/>
  <c r="D4" i="25"/>
  <c r="D4" i="61" l="1"/>
  <c r="B17" i="61"/>
  <c r="B15" i="61"/>
  <c r="D6" i="25"/>
  <c r="C21" i="59" l="1"/>
  <c r="D6" i="58" l="1"/>
  <c r="D5" i="58"/>
  <c r="D4" i="58"/>
  <c r="D6" i="31" l="1"/>
  <c r="D5" i="31"/>
  <c r="D4" i="31"/>
  <c r="D6" i="30"/>
  <c r="D5" i="30"/>
  <c r="D4" i="30"/>
  <c r="D6" i="29"/>
  <c r="D5" i="29"/>
  <c r="D4" i="29"/>
  <c r="E28" i="6" l="1"/>
  <c r="G28" i="6" s="1"/>
  <c r="E27" i="6"/>
  <c r="G27" i="6" s="1"/>
  <c r="E26" i="6"/>
  <c r="G26" i="6" s="1"/>
  <c r="E25" i="6"/>
  <c r="G25" i="6" s="1"/>
  <c r="E24" i="6"/>
  <c r="G24" i="6" s="1"/>
  <c r="E22" i="6"/>
  <c r="G22" i="6" s="1"/>
  <c r="E21" i="6"/>
  <c r="G21" i="6" s="1"/>
  <c r="G20" i="6"/>
  <c r="E20" i="6"/>
  <c r="E18" i="6"/>
  <c r="G18" i="6" s="1"/>
  <c r="E17" i="6"/>
  <c r="G17" i="6" s="1"/>
  <c r="E16" i="6"/>
  <c r="G16" i="6" s="1"/>
  <c r="E15" i="6"/>
  <c r="G15" i="6" s="1"/>
  <c r="E14" i="6"/>
  <c r="G14" i="6" s="1"/>
  <c r="E13" i="6"/>
  <c r="G13" i="6" s="1"/>
  <c r="E12" i="6"/>
  <c r="G12" i="6" s="1"/>
  <c r="E10" i="6"/>
  <c r="G10" i="6" s="1"/>
  <c r="E9" i="6"/>
  <c r="G9" i="6" s="1"/>
  <c r="E8" i="6"/>
  <c r="G8" i="6" s="1"/>
  <c r="E7" i="6"/>
  <c r="G7" i="6" s="1"/>
  <c r="E5" i="6"/>
  <c r="G5" i="6" s="1"/>
  <c r="E4" i="6"/>
  <c r="G4" i="6" s="1"/>
  <c r="H20" i="6" l="1"/>
  <c r="I20" i="6" s="1"/>
  <c r="H4" i="6"/>
  <c r="I4" i="6" s="1"/>
  <c r="H24" i="6"/>
  <c r="H7" i="6"/>
  <c r="I7" i="6" s="1"/>
  <c r="H12" i="6"/>
  <c r="I12" i="6" s="1"/>
  <c r="H29" i="6" l="1"/>
  <c r="I29" i="6" s="1"/>
  <c r="I2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27" authorId="0" shapeId="0" xr:uid="{D4783912-94E9-4792-AF86-E6B34845425D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9B778038-88A4-4BC3-9713-FC9B6DBB54F9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9" authorId="0" shapeId="0" xr:uid="{81F1C8D6-994E-4F9B-AB64-FF96C39B9CE8}">
      <text/>
    </comment>
  </commentList>
</comments>
</file>

<file path=xl/sharedStrings.xml><?xml version="1.0" encoding="utf-8"?>
<sst xmlns="http://schemas.openxmlformats.org/spreadsheetml/2006/main" count="412" uniqueCount="222">
  <si>
    <t>Minor</t>
  </si>
  <si>
    <t>Major</t>
  </si>
  <si>
    <t>Visual test</t>
  </si>
  <si>
    <t>No</t>
  </si>
  <si>
    <t>Accepted</t>
  </si>
  <si>
    <t>Rejected</t>
  </si>
  <si>
    <t>Bending</t>
  </si>
  <si>
    <t>Welding</t>
  </si>
  <si>
    <t>Galvanizing</t>
  </si>
  <si>
    <t>a</t>
  </si>
  <si>
    <t>b</t>
  </si>
  <si>
    <t>c</t>
  </si>
  <si>
    <t>Cutting</t>
  </si>
  <si>
    <t>d</t>
  </si>
  <si>
    <t>Welding on site</t>
  </si>
  <si>
    <t>e</t>
  </si>
  <si>
    <t>Splitzen recondition</t>
  </si>
  <si>
    <t>Tower Upgrade Type</t>
  </si>
  <si>
    <t>Point</t>
  </si>
  <si>
    <t>Inspection Point</t>
  </si>
  <si>
    <t>Value</t>
  </si>
  <si>
    <t>Material Supply</t>
  </si>
  <si>
    <t>Profile material</t>
  </si>
  <si>
    <t>Item Description</t>
  </si>
  <si>
    <t>Specification of material</t>
  </si>
  <si>
    <t>Fabrication performance</t>
  </si>
  <si>
    <t>Holing / Punching / Drilling</t>
  </si>
  <si>
    <t>Installation performance</t>
  </si>
  <si>
    <t>Completeness of material</t>
  </si>
  <si>
    <t>Proper connection</t>
  </si>
  <si>
    <t>Torque of bolt / bolt tightness</t>
  </si>
  <si>
    <t>Grouting</t>
  </si>
  <si>
    <t>f</t>
  </si>
  <si>
    <t>Measurement of installed material</t>
  </si>
  <si>
    <t>g</t>
  </si>
  <si>
    <t>Conformance to design</t>
  </si>
  <si>
    <t>Thickness of galvanizing</t>
  </si>
  <si>
    <t>Corrosion</t>
  </si>
  <si>
    <t>Finishing works</t>
  </si>
  <si>
    <t>OBL recondition</t>
  </si>
  <si>
    <t>Waterprofing paint</t>
  </si>
  <si>
    <t>Painting</t>
  </si>
  <si>
    <t>Cleaness and tidiness of site</t>
  </si>
  <si>
    <t>Inspection result</t>
  </si>
  <si>
    <t>Good</t>
  </si>
  <si>
    <t>Total Point</t>
  </si>
  <si>
    <t>Point in words</t>
  </si>
  <si>
    <t>CONCLUSION</t>
  </si>
  <si>
    <t>Conclusion</t>
  </si>
  <si>
    <t>Range</t>
  </si>
  <si>
    <t>Accepted With Rectification</t>
  </si>
  <si>
    <t>&gt; 333.35</t>
  </si>
  <si>
    <r>
      <t xml:space="preserve">166.68 </t>
    </r>
    <r>
      <rPr>
        <sz val="11"/>
        <color theme="1"/>
        <rFont val="Calibri"/>
        <family val="2"/>
      </rPr>
      <t>&lt; x &lt; 333.34</t>
    </r>
  </si>
  <si>
    <t>&lt; 166.67</t>
  </si>
  <si>
    <t>QC Point and Checklist</t>
  </si>
  <si>
    <t>CO-LOCATION SITE ACCEPTANCE</t>
  </si>
  <si>
    <t>Contractor Logo</t>
  </si>
  <si>
    <t>Site ID</t>
  </si>
  <si>
    <t>Site Name</t>
  </si>
  <si>
    <t>Site Address</t>
  </si>
  <si>
    <t>Installed By</t>
  </si>
  <si>
    <t>Material Supplied By</t>
  </si>
  <si>
    <t>Inspection Date</t>
  </si>
  <si>
    <t>Carrier</t>
  </si>
  <si>
    <t>RFI Date as per Colo Tracker</t>
  </si>
  <si>
    <t>:</t>
  </si>
  <si>
    <t>NO</t>
  </si>
  <si>
    <t>INSPECTION ITEM</t>
  </si>
  <si>
    <t>ACCEPTANCE</t>
  </si>
  <si>
    <t>REMARKS</t>
  </si>
  <si>
    <t>FOUNDATION (CIVIL WORKS)</t>
  </si>
  <si>
    <t>YES</t>
  </si>
  <si>
    <t>N/A</t>
  </si>
  <si>
    <t>INSPECTION CHECK LIST</t>
  </si>
  <si>
    <t>Submit Date:</t>
  </si>
  <si>
    <t>Project:</t>
  </si>
  <si>
    <t>Site ID:</t>
  </si>
  <si>
    <t>Site Name:</t>
  </si>
  <si>
    <t>SITE INFORMATION</t>
  </si>
  <si>
    <t>Version</t>
  </si>
  <si>
    <t>Revision</t>
  </si>
  <si>
    <t>Eng-QC-TU-Site Acceptance-Form-001</t>
  </si>
  <si>
    <t>Form Issued Date:</t>
  </si>
  <si>
    <t>Page:</t>
  </si>
  <si>
    <t>of</t>
  </si>
  <si>
    <t>QC PROTELINDO</t>
  </si>
  <si>
    <t>PT. PROTELINDO</t>
  </si>
  <si>
    <t>SITE ID</t>
  </si>
  <si>
    <t>SITE NAME</t>
  </si>
  <si>
    <t>Place and Date:</t>
  </si>
  <si>
    <t>O &amp; M</t>
  </si>
  <si>
    <t>Contractor Name</t>
  </si>
  <si>
    <t>Name:</t>
  </si>
  <si>
    <t>Type of foundation</t>
  </si>
  <si>
    <t>Dimension</t>
  </si>
  <si>
    <t>- Base</t>
  </si>
  <si>
    <t>- Column</t>
  </si>
  <si>
    <t>- Depth</t>
  </si>
  <si>
    <t>Concrete</t>
  </si>
  <si>
    <t>- Concrete Strength Certificate</t>
  </si>
  <si>
    <t>- Concrete Surface</t>
  </si>
  <si>
    <t>Anchor</t>
  </si>
  <si>
    <t>- Diameter</t>
  </si>
  <si>
    <t>- Grouting</t>
  </si>
  <si>
    <t>- Level</t>
  </si>
  <si>
    <t>Finishing Works</t>
  </si>
  <si>
    <t>- Soil Compacting</t>
  </si>
  <si>
    <t>- Site Cleaning</t>
  </si>
  <si>
    <t>STEEL STRUCTURE</t>
  </si>
  <si>
    <t>Steel material</t>
  </si>
  <si>
    <t>- Wide Flange (H-Beam and I-Beam) and Angle Steel</t>
  </si>
  <si>
    <t>- Bolt, Nut, Plate Washer and Spring Washer</t>
  </si>
  <si>
    <t>- Chequered Plate</t>
  </si>
  <si>
    <t>Installation</t>
  </si>
  <si>
    <t>Galvanizing Test</t>
  </si>
  <si>
    <t>Holes</t>
  </si>
  <si>
    <t>Stairs</t>
  </si>
  <si>
    <t>No trash and garbage arround and inside of site</t>
  </si>
  <si>
    <t>No excess materials left</t>
  </si>
  <si>
    <t>CLEANNESS AND TIDINESS</t>
  </si>
  <si>
    <t>REVIEWED AND APPROVED BY:</t>
  </si>
  <si>
    <t>ACCEPTANCE TEST BY:</t>
  </si>
  <si>
    <t>Conform</t>
  </si>
  <si>
    <t>Provided / Within the specification</t>
  </si>
  <si>
    <t>Good / Smooth / Done</t>
  </si>
  <si>
    <t>Firmly fixed / Conform</t>
  </si>
  <si>
    <t>Good / Level / Conform</t>
  </si>
  <si>
    <t>Done / Neat / Conform</t>
  </si>
  <si>
    <t>Clean / Neat</t>
  </si>
  <si>
    <t>Tightened within torque spec / Complete / Galvanized / HTB</t>
  </si>
  <si>
    <t>Conform / Galvanized</t>
  </si>
  <si>
    <t>Conform / All member properly connected and installed</t>
  </si>
  <si>
    <t>New / Conform / Precise / Galvanized</t>
  </si>
  <si>
    <t>Conform / Galvanized / Neat / No porosity</t>
  </si>
  <si>
    <t>Conform / Galvanized / Neat</t>
  </si>
  <si>
    <t>Minimum 85µm / Certified</t>
  </si>
  <si>
    <t>Conform / Once / Neat</t>
  </si>
  <si>
    <t>CRITERIA</t>
  </si>
  <si>
    <t>Mill Certificate provided / Within the specification / Complete and Conform to design / Not Bend or Camber / Galvanized</t>
  </si>
  <si>
    <t>- Placement</t>
  </si>
  <si>
    <t>APPLICABLE FOR STACKING SHELTER WORK</t>
  </si>
  <si>
    <t>TENANT</t>
  </si>
  <si>
    <t>MATERIAL ON SITE</t>
  </si>
  <si>
    <t>`</t>
  </si>
  <si>
    <t>Project ID</t>
  </si>
  <si>
    <t xml:space="preserve">Site Name   </t>
  </si>
  <si>
    <t xml:space="preserve">Site ID          </t>
  </si>
  <si>
    <t>ATP Date</t>
  </si>
  <si>
    <t>DESCRIPTION</t>
  </si>
  <si>
    <t>Doc. Type</t>
  </si>
  <si>
    <t>CHECK</t>
  </si>
  <si>
    <t>REMARK</t>
  </si>
  <si>
    <t>Complete</t>
  </si>
  <si>
    <t>Not Required</t>
  </si>
  <si>
    <t>Copy</t>
  </si>
  <si>
    <t>Submitted by :</t>
  </si>
  <si>
    <t xml:space="preserve">Tanggal: </t>
  </si>
  <si>
    <t>Pekerjaan</t>
  </si>
  <si>
    <t>Area</t>
  </si>
  <si>
    <t>MASTER</t>
  </si>
  <si>
    <t>Site Name PO</t>
  </si>
  <si>
    <t>Site Name Tenant</t>
  </si>
  <si>
    <t>Tanggal :</t>
  </si>
  <si>
    <t>Tenant</t>
  </si>
  <si>
    <t>Type Tower/Heigh</t>
  </si>
  <si>
    <t>Alamat</t>
  </si>
  <si>
    <t>Koordinat</t>
  </si>
  <si>
    <t>Long :</t>
  </si>
  <si>
    <t>Lat :</t>
  </si>
  <si>
    <t xml:space="preserve">: </t>
  </si>
  <si>
    <t>Mitra</t>
  </si>
  <si>
    <t xml:space="preserve">Executive General Manager </t>
  </si>
  <si>
    <t>Manager Construction</t>
  </si>
  <si>
    <t>PT. Dayamitra Telekomunikasi Tbk</t>
  </si>
  <si>
    <t>GM Area Office Jabodetabeb &amp; Jabar</t>
  </si>
  <si>
    <t xml:space="preserve">Manager Const  Depl TG &amp; OM Area Office Jabodetabeb Inner </t>
  </si>
  <si>
    <t xml:space="preserve">Project Management </t>
  </si>
  <si>
    <t>Waspang Area</t>
  </si>
  <si>
    <t xml:space="preserve">START </t>
  </si>
  <si>
    <t>rev. 03</t>
  </si>
  <si>
    <t>CHECKLIS BINDER MK B2S</t>
  </si>
  <si>
    <t>PLANED DOCUMENT</t>
  </si>
  <si>
    <t>Offering / penunjukan Mitra dari procurement</t>
  </si>
  <si>
    <t xml:space="preserve">Purchase Order </t>
  </si>
  <si>
    <t xml:space="preserve">Undangan Site Opening + BA Site Opening + Foto Mos </t>
  </si>
  <si>
    <t xml:space="preserve">Undangan pengecoran + BA Pengecoran + Foto Pengecoran </t>
  </si>
  <si>
    <t xml:space="preserve">RFI Notification + Foto </t>
  </si>
  <si>
    <t>Function Test / Foto ATP &amp; Verticality</t>
  </si>
  <si>
    <t xml:space="preserve">Acceprence Test Dokumen + Closing Pending </t>
  </si>
  <si>
    <t>SS Oneflux</t>
  </si>
  <si>
    <t>Checked by :</t>
  </si>
  <si>
    <t>MITRATEL RO JABODETABEK</t>
  </si>
  <si>
    <t xml:space="preserve">SKOM </t>
  </si>
  <si>
    <t xml:space="preserve">PENGECORAN </t>
  </si>
  <si>
    <t>MOS &amp; ERECTION</t>
  </si>
  <si>
    <t>SKOM</t>
  </si>
  <si>
    <t xml:space="preserve">DOKUMENTASI PEMBESIAN SITE </t>
  </si>
  <si>
    <t xml:space="preserve">DOKUMENTASI PENGECORAN </t>
  </si>
  <si>
    <t>SITE VIEW</t>
  </si>
  <si>
    <t>PANEL ACPDB</t>
  </si>
  <si>
    <t xml:space="preserve">PANEL KWH </t>
  </si>
  <si>
    <t xml:space="preserve">GROUNDING </t>
  </si>
  <si>
    <t xml:space="preserve">PENGUKURAN TEGANGAN </t>
  </si>
  <si>
    <t xml:space="preserve"> PENGECORAN </t>
  </si>
  <si>
    <t>PERSIAPAN PENGECORAN</t>
  </si>
  <si>
    <t>PENGUKURAN TEGANGAN TN</t>
  </si>
  <si>
    <t>PENGUKURAN TEGANGAN SN</t>
  </si>
  <si>
    <t>PENGUKURAN TEGANGAN NG</t>
  </si>
  <si>
    <t>PENGUKURAN TEGANGAN RN</t>
  </si>
  <si>
    <t>DOKUMENTASI ATP/FUNCTION TEST</t>
  </si>
  <si>
    <t xml:space="preserve"> </t>
  </si>
  <si>
    <t>MK ON SITE</t>
  </si>
  <si>
    <t>ERECTION</t>
  </si>
  <si>
    <t>FOTO MK</t>
  </si>
  <si>
    <t>PENGUKURAN TEGANGAN RS</t>
  </si>
  <si>
    <t>PENGUKURAN TEGANGAN RT</t>
  </si>
  <si>
    <t>PENGUKURAN TEGANGAN ST</t>
  </si>
  <si>
    <t>EVIDEN</t>
  </si>
  <si>
    <t>DONE</t>
  </si>
  <si>
    <t>PT. TRITECH CONSULT INDONESIA</t>
  </si>
  <si>
    <t>PEMBESIAN SITE</t>
  </si>
  <si>
    <t>VERTICALITY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</si>
</sst>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0.00_)"/>
    <numFmt numFmtId="166" formatCode="[$-421]dd\ mmmm\ yyyy;@"/>
    <numFmt numFmtId="167" formatCode="[$-409]dd\-mmm\-yy;@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sz val="8"/>
      <name val="Arial"/>
      <family val="2"/>
    </font>
    <font>
      <b/>
      <i/>
      <sz val="16"/>
      <name val="Helv"/>
    </font>
    <font>
      <sz val="11"/>
      <name val="Arial"/>
      <family val="2"/>
    </font>
    <font>
      <sz val="10"/>
      <name val="Arial"/>
      <family val="2"/>
    </font>
    <font>
      <b/>
      <sz val="1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7"/>
      <name val="Small Fonts"/>
      <family val="2"/>
    </font>
    <font>
      <sz val="12"/>
      <name val="Times New Roman"/>
      <family val="1"/>
    </font>
    <font>
      <sz val="10"/>
      <color indexed="8"/>
      <name val="Calibri"/>
      <family val="2"/>
    </font>
    <font>
      <u/>
      <sz val="11"/>
      <color indexed="12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</font>
    <font>
      <b/>
      <sz val="10"/>
      <name val="MS Sans Serif"/>
      <family val="2"/>
    </font>
    <font>
      <b/>
      <sz val="16"/>
      <color theme="3" tint="-0.249977111117893"/>
      <name val="Calibri"/>
      <family val="2"/>
      <scheme val="minor"/>
    </font>
    <font>
      <b/>
      <sz val="18"/>
      <color theme="3" tint="-0.249977111117893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0"/>
      <color indexed="57"/>
      <name val="Arial Black"/>
      <family val="2"/>
    </font>
    <font>
      <sz val="20"/>
      <color indexed="8"/>
      <name val="Arial Black"/>
      <family val="2"/>
    </font>
    <font>
      <sz val="20"/>
      <name val="Arial Black"/>
      <family val="2"/>
    </font>
    <font>
      <b/>
      <sz val="16"/>
      <name val="Book Antiqua"/>
      <family val="1"/>
    </font>
    <font>
      <sz val="10"/>
      <name val="Tahoma"/>
      <family val="2"/>
    </font>
    <font>
      <b/>
      <sz val="10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b/>
      <sz val="6"/>
      <name val="Tahoma"/>
      <family val="2"/>
    </font>
    <font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9"/>
      <name val="Tahoma"/>
      <family val="2"/>
    </font>
    <font>
      <sz val="12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b/>
      <sz val="22"/>
      <color indexed="8"/>
      <name val="Calibri"/>
      <family val="2"/>
    </font>
    <font>
      <b/>
      <sz val="16"/>
      <color indexed="8"/>
      <name val="Calibri"/>
      <family val="2"/>
    </font>
    <font>
      <sz val="10"/>
      <color indexed="8"/>
      <name val="Calibri"/>
      <family val="2"/>
      <charset val="1"/>
    </font>
    <font>
      <u/>
      <sz val="12"/>
      <color indexed="8"/>
      <name val="Calibri"/>
      <family val="2"/>
    </font>
    <font>
      <sz val="9"/>
      <color indexed="81"/>
      <name val="Tahoma"/>
      <family val="2"/>
    </font>
    <font>
      <b/>
      <sz val="11"/>
      <name val="Tahoma"/>
      <family val="2"/>
    </font>
    <font>
      <b/>
      <sz val="10"/>
      <color indexed="10"/>
      <name val="Tahoma"/>
      <family val="2"/>
    </font>
    <font>
      <sz val="48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87">
    <xf numFmtId="0" fontId="0" fillId="0" borderId="0"/>
    <xf numFmtId="38" fontId="8" fillId="7" borderId="0" applyNumberFormat="0" applyBorder="0" applyAlignment="0" applyProtection="0"/>
    <xf numFmtId="10" fontId="8" fillId="8" borderId="1" applyNumberFormat="0" applyBorder="0" applyAlignment="0" applyProtection="0"/>
    <xf numFmtId="165" fontId="9" fillId="0" borderId="0"/>
    <xf numFmtId="0" fontId="10" fillId="0" borderId="0"/>
    <xf numFmtId="10" fontId="11" fillId="0" borderId="0" applyFont="0" applyFill="0" applyBorder="0" applyAlignment="0" applyProtection="0"/>
    <xf numFmtId="40" fontId="12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6" fillId="0" borderId="0"/>
    <xf numFmtId="0" fontId="10" fillId="0" borderId="0"/>
    <xf numFmtId="41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7" fillId="0" borderId="0" applyFont="0" applyFill="0" applyBorder="0" applyAlignment="0" applyProtection="0"/>
    <xf numFmtId="15" fontId="8" fillId="0" borderId="0">
      <alignment vertical="top" wrapText="1"/>
    </xf>
    <xf numFmtId="0" fontId="18" fillId="0" borderId="0" applyNumberFormat="0" applyFill="0" applyBorder="0" applyAlignment="0" applyProtection="0">
      <alignment vertical="top"/>
      <protection locked="0"/>
    </xf>
    <xf numFmtId="37" fontId="15" fillId="0" borderId="0"/>
    <xf numFmtId="0" fontId="1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3" fillId="0" borderId="0"/>
    <xf numFmtId="0" fontId="13" fillId="0" borderId="0"/>
    <xf numFmtId="0" fontId="13" fillId="0" borderId="0"/>
    <xf numFmtId="0" fontId="19" fillId="0" borderId="0"/>
    <xf numFmtId="0" fontId="19" fillId="0" borderId="0"/>
    <xf numFmtId="0" fontId="19" fillId="0" borderId="0"/>
    <xf numFmtId="0" fontId="4" fillId="0" borderId="0"/>
    <xf numFmtId="0" fontId="13" fillId="0" borderId="0"/>
    <xf numFmtId="0" fontId="1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4" fillId="0" borderId="0"/>
    <xf numFmtId="0" fontId="1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0" fillId="0" borderId="0"/>
    <xf numFmtId="0" fontId="10" fillId="0" borderId="0"/>
    <xf numFmtId="9" fontId="17" fillId="0" borderId="0" applyFont="0" applyFill="0" applyBorder="0" applyAlignment="0" applyProtection="0"/>
    <xf numFmtId="9" fontId="13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19" fillId="0" borderId="0" applyNumberFormat="0" applyFont="0" applyFill="0" applyBorder="0" applyAlignment="0" applyProtection="0">
      <alignment horizontal="left"/>
    </xf>
    <xf numFmtId="0" fontId="21" fillId="0" borderId="18">
      <alignment horizontal="center"/>
    </xf>
    <xf numFmtId="0" fontId="16" fillId="0" borderId="0"/>
    <xf numFmtId="0" fontId="11" fillId="0" borderId="0"/>
    <xf numFmtId="0" fontId="1" fillId="0" borderId="0"/>
  </cellStyleXfs>
  <cellXfs count="316">
    <xf numFmtId="0" fontId="0" fillId="0" borderId="0" xfId="0"/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8" xfId="0" applyBorder="1"/>
    <xf numFmtId="0" fontId="0" fillId="0" borderId="11" xfId="0" applyBorder="1"/>
    <xf numFmtId="0" fontId="0" fillId="0" borderId="6" xfId="0" applyBorder="1"/>
    <xf numFmtId="0" fontId="0" fillId="0" borderId="0" xfId="0" applyAlignment="1">
      <alignment horizontal="left" vertical="top"/>
    </xf>
    <xf numFmtId="0" fontId="0" fillId="0" borderId="14" xfId="0" applyBorder="1"/>
    <xf numFmtId="0" fontId="0" fillId="0" borderId="3" xfId="0" applyBorder="1" applyAlignment="1">
      <alignment horizontal="center" vertical="center"/>
    </xf>
    <xf numFmtId="0" fontId="0" fillId="3" borderId="14" xfId="0" applyFill="1" applyBorder="1"/>
    <xf numFmtId="0" fontId="0" fillId="3" borderId="3" xfId="0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justify"/>
    </xf>
    <xf numFmtId="0" fontId="0" fillId="0" borderId="15" xfId="0" applyBorder="1"/>
    <xf numFmtId="0" fontId="0" fillId="0" borderId="3" xfId="0" applyBorder="1"/>
    <xf numFmtId="0" fontId="4" fillId="0" borderId="14" xfId="0" applyFont="1" applyBorder="1"/>
    <xf numFmtId="0" fontId="4" fillId="0" borderId="0" xfId="0" applyFont="1"/>
    <xf numFmtId="0" fontId="4" fillId="0" borderId="15" xfId="0" applyFont="1" applyBorder="1"/>
    <xf numFmtId="0" fontId="4" fillId="0" borderId="15" xfId="0" applyFont="1" applyBorder="1" applyAlignment="1">
      <alignment horizontal="center" vertical="center"/>
    </xf>
    <xf numFmtId="0" fontId="4" fillId="0" borderId="3" xfId="0" applyFont="1" applyBorder="1"/>
    <xf numFmtId="0" fontId="5" fillId="6" borderId="12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5" fillId="6" borderId="12" xfId="0" applyFont="1" applyFill="1" applyBorder="1"/>
    <xf numFmtId="0" fontId="5" fillId="6" borderId="13" xfId="0" applyFont="1" applyFill="1" applyBorder="1"/>
    <xf numFmtId="0" fontId="5" fillId="6" borderId="10" xfId="0" applyFont="1" applyFill="1" applyBorder="1"/>
    <xf numFmtId="0" fontId="5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5" fillId="0" borderId="15" xfId="0" applyFont="1" applyBorder="1"/>
    <xf numFmtId="0" fontId="4" fillId="0" borderId="14" xfId="0" applyFont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4" fillId="0" borderId="15" xfId="0" applyFont="1" applyBorder="1" applyAlignment="1">
      <alignment vertical="center"/>
    </xf>
    <xf numFmtId="0" fontId="4" fillId="0" borderId="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3" xfId="0" applyFont="1" applyBorder="1" applyAlignment="1">
      <alignment horizontal="left"/>
    </xf>
    <xf numFmtId="0" fontId="4" fillId="0" borderId="13" xfId="0" applyFont="1" applyBorder="1"/>
    <xf numFmtId="0" fontId="4" fillId="0" borderId="5" xfId="0" applyFont="1" applyBorder="1" applyAlignment="1">
      <alignment horizontal="center" vertical="center"/>
    </xf>
    <xf numFmtId="0" fontId="4" fillId="0" borderId="7" xfId="0" applyFont="1" applyBorder="1"/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/>
    <xf numFmtId="0" fontId="4" fillId="0" borderId="5" xfId="0" applyFont="1" applyBorder="1"/>
    <xf numFmtId="0" fontId="4" fillId="0" borderId="12" xfId="0" applyFont="1" applyBorder="1"/>
    <xf numFmtId="0" fontId="4" fillId="0" borderId="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6" fillId="0" borderId="16" xfId="0" applyFont="1" applyBorder="1"/>
    <xf numFmtId="0" fontId="6" fillId="0" borderId="17" xfId="0" applyFont="1" applyBorder="1"/>
    <xf numFmtId="0" fontId="5" fillId="0" borderId="0" xfId="0" applyFont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6" borderId="2" xfId="0" applyFont="1" applyFill="1" applyBorder="1" applyAlignment="1">
      <alignment vertical="center"/>
    </xf>
    <xf numFmtId="0" fontId="5" fillId="6" borderId="9" xfId="0" applyFont="1" applyFill="1" applyBorder="1" applyAlignment="1">
      <alignment vertical="center"/>
    </xf>
    <xf numFmtId="0" fontId="4" fillId="0" borderId="15" xfId="0" quotePrefix="1" applyFont="1" applyBorder="1"/>
    <xf numFmtId="0" fontId="3" fillId="0" borderId="3" xfId="0" applyFont="1" applyBorder="1" applyAlignment="1">
      <alignment vertical="center"/>
    </xf>
    <xf numFmtId="0" fontId="4" fillId="0" borderId="15" xfId="0" quotePrefix="1" applyFont="1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6" xfId="0" applyFont="1" applyBorder="1" applyAlignment="1">
      <alignment horizontal="left" vertical="center"/>
    </xf>
    <xf numFmtId="0" fontId="6" fillId="0" borderId="17" xfId="0" applyFont="1" applyBorder="1" applyAlignment="1">
      <alignment horizontal="left" vertic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left" vertical="center"/>
    </xf>
    <xf numFmtId="0" fontId="23" fillId="0" borderId="0" xfId="0" applyFont="1"/>
    <xf numFmtId="0" fontId="14" fillId="0" borderId="0" xfId="0" applyFont="1"/>
    <xf numFmtId="0" fontId="6" fillId="0" borderId="16" xfId="0" quotePrefix="1" applyFont="1" applyBorder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0" xfId="0" applyBorder="1"/>
    <xf numFmtId="0" fontId="25" fillId="9" borderId="0" xfId="932" applyFont="1" applyFill="1"/>
    <xf numFmtId="0" fontId="26" fillId="9" borderId="0" xfId="932" applyFont="1" applyFill="1" applyAlignment="1">
      <alignment horizontal="center"/>
    </xf>
    <xf numFmtId="0" fontId="26" fillId="9" borderId="0" xfId="932" applyFont="1" applyFill="1"/>
    <xf numFmtId="0" fontId="26" fillId="9" borderId="0" xfId="932" applyFont="1" applyFill="1" applyAlignment="1">
      <alignment horizontal="center" vertical="center"/>
    </xf>
    <xf numFmtId="0" fontId="27" fillId="0" borderId="0" xfId="932" applyFont="1"/>
    <xf numFmtId="0" fontId="16" fillId="0" borderId="0" xfId="932" applyFont="1"/>
    <xf numFmtId="0" fontId="29" fillId="0" borderId="0" xfId="932" applyFont="1"/>
    <xf numFmtId="0" fontId="30" fillId="0" borderId="0" xfId="932" applyFont="1" applyAlignment="1">
      <alignment vertical="center"/>
    </xf>
    <xf numFmtId="0" fontId="30" fillId="0" borderId="0" xfId="932" applyFont="1" applyAlignment="1">
      <alignment horizontal="center" vertical="center"/>
    </xf>
    <xf numFmtId="0" fontId="30" fillId="0" borderId="0" xfId="932" applyFont="1"/>
    <xf numFmtId="0" fontId="30" fillId="0" borderId="0" xfId="932" applyFont="1" applyAlignment="1">
      <alignment horizontal="center"/>
    </xf>
    <xf numFmtId="0" fontId="32" fillId="9" borderId="13" xfId="932" applyFont="1" applyFill="1" applyBorder="1" applyAlignment="1">
      <alignment horizontal="center" vertical="center"/>
    </xf>
    <xf numFmtId="0" fontId="33" fillId="9" borderId="1" xfId="932" applyFont="1" applyFill="1" applyBorder="1" applyAlignment="1">
      <alignment horizontal="center"/>
    </xf>
    <xf numFmtId="0" fontId="32" fillId="0" borderId="1" xfId="932" applyFont="1" applyBorder="1" applyAlignment="1">
      <alignment horizontal="center" vertical="center"/>
    </xf>
    <xf numFmtId="0" fontId="34" fillId="9" borderId="14" xfId="932" applyFont="1" applyFill="1" applyBorder="1" applyAlignment="1">
      <alignment horizontal="center" vertical="center" shrinkToFit="1"/>
    </xf>
    <xf numFmtId="0" fontId="34" fillId="9" borderId="3" xfId="932" applyFont="1" applyFill="1" applyBorder="1" applyAlignment="1">
      <alignment vertical="center" shrinkToFit="1"/>
    </xf>
    <xf numFmtId="0" fontId="32" fillId="0" borderId="1" xfId="932" applyFont="1" applyBorder="1" applyAlignment="1">
      <alignment vertical="center"/>
    </xf>
    <xf numFmtId="0" fontId="30" fillId="0" borderId="1" xfId="932" applyFont="1" applyBorder="1" applyAlignment="1">
      <alignment horizontal="center" vertical="center"/>
    </xf>
    <xf numFmtId="0" fontId="35" fillId="9" borderId="1" xfId="932" applyFont="1" applyFill="1" applyBorder="1" applyAlignment="1">
      <alignment vertical="center"/>
    </xf>
    <xf numFmtId="0" fontId="29" fillId="9" borderId="0" xfId="932" applyFont="1" applyFill="1" applyAlignment="1">
      <alignment vertical="center"/>
    </xf>
    <xf numFmtId="0" fontId="36" fillId="0" borderId="1" xfId="932" applyFont="1" applyBorder="1" applyAlignment="1">
      <alignment vertical="center"/>
    </xf>
    <xf numFmtId="0" fontId="36" fillId="0" borderId="1" xfId="932" applyFont="1" applyBorder="1" applyAlignment="1">
      <alignment horizontal="center" vertical="center"/>
    </xf>
    <xf numFmtId="0" fontId="30" fillId="0" borderId="1" xfId="932" applyFont="1" applyBorder="1" applyAlignment="1">
      <alignment vertical="center" textRotation="90"/>
    </xf>
    <xf numFmtId="0" fontId="36" fillId="0" borderId="1" xfId="932" applyFont="1" applyBorder="1" applyAlignment="1">
      <alignment vertical="center" wrapText="1"/>
    </xf>
    <xf numFmtId="0" fontId="36" fillId="0" borderId="1" xfId="932" applyFont="1" applyBorder="1" applyAlignment="1">
      <alignment horizontal="left" vertical="center"/>
    </xf>
    <xf numFmtId="0" fontId="29" fillId="0" borderId="0" xfId="932" applyFont="1" applyAlignment="1">
      <alignment vertical="center"/>
    </xf>
    <xf numFmtId="0" fontId="29" fillId="0" borderId="0" xfId="932" applyFont="1" applyAlignment="1">
      <alignment horizontal="center" vertical="center"/>
    </xf>
    <xf numFmtId="0" fontId="29" fillId="0" borderId="0" xfId="932" applyFont="1" applyAlignment="1">
      <alignment horizontal="center"/>
    </xf>
    <xf numFmtId="0" fontId="40" fillId="0" borderId="0" xfId="0" applyFont="1" applyAlignment="1">
      <alignment vertical="center"/>
    </xf>
    <xf numFmtId="0" fontId="41" fillId="0" borderId="0" xfId="0" applyFont="1" applyAlignment="1">
      <alignment vertical="center"/>
    </xf>
    <xf numFmtId="0" fontId="38" fillId="0" borderId="0" xfId="0" applyFont="1"/>
    <xf numFmtId="0" fontId="38" fillId="0" borderId="0" xfId="0" applyFont="1" applyAlignment="1">
      <alignment horizontal="center"/>
    </xf>
    <xf numFmtId="0" fontId="6" fillId="10" borderId="1" xfId="0" quotePrefix="1" applyFont="1" applyFill="1" applyBorder="1" applyAlignment="1">
      <alignment horizontal="left"/>
    </xf>
    <xf numFmtId="0" fontId="38" fillId="0" borderId="0" xfId="0" quotePrefix="1" applyFont="1" applyAlignment="1">
      <alignment horizontal="left"/>
    </xf>
    <xf numFmtId="0" fontId="38" fillId="10" borderId="1" xfId="0" quotePrefix="1" applyFont="1" applyFill="1" applyBorder="1" applyAlignment="1">
      <alignment horizontal="left"/>
    </xf>
    <xf numFmtId="0" fontId="38" fillId="10" borderId="1" xfId="0" quotePrefix="1" applyFont="1" applyFill="1" applyBorder="1"/>
    <xf numFmtId="0" fontId="42" fillId="0" borderId="0" xfId="0" applyFont="1"/>
    <xf numFmtId="0" fontId="0" fillId="10" borderId="6" xfId="0" quotePrefix="1" applyFill="1" applyBorder="1" applyAlignment="1">
      <alignment horizontal="left" vertical="center"/>
    </xf>
    <xf numFmtId="0" fontId="0" fillId="10" borderId="6" xfId="0" quotePrefix="1" applyFill="1" applyBorder="1" applyAlignment="1">
      <alignment vertical="center"/>
    </xf>
    <xf numFmtId="0" fontId="38" fillId="0" borderId="0" xfId="0" quotePrefix="1" applyFont="1" applyAlignment="1">
      <alignment horizontal="right"/>
    </xf>
    <xf numFmtId="0" fontId="38" fillId="10" borderId="1" xfId="0" applyFont="1" applyFill="1" applyBorder="1" applyAlignment="1">
      <alignment horizontal="left"/>
    </xf>
    <xf numFmtId="15" fontId="38" fillId="0" borderId="0" xfId="0" applyNumberFormat="1" applyFont="1"/>
    <xf numFmtId="0" fontId="38" fillId="0" borderId="1" xfId="0" applyFont="1" applyBorder="1"/>
    <xf numFmtId="0" fontId="38" fillId="0" borderId="1" xfId="0" applyFont="1" applyBorder="1" applyAlignment="1">
      <alignment horizontal="center"/>
    </xf>
    <xf numFmtId="15" fontId="38" fillId="0" borderId="1" xfId="0" applyNumberFormat="1" applyFont="1" applyBorder="1"/>
    <xf numFmtId="0" fontId="39" fillId="0" borderId="1" xfId="0" applyFont="1" applyBorder="1"/>
    <xf numFmtId="0" fontId="0" fillId="5" borderId="0" xfId="0" applyFill="1"/>
    <xf numFmtId="0" fontId="0" fillId="0" borderId="1" xfId="0" applyBorder="1"/>
    <xf numFmtId="15" fontId="43" fillId="0" borderId="1" xfId="0" quotePrefix="1" applyNumberFormat="1" applyFont="1" applyBorder="1"/>
    <xf numFmtId="0" fontId="36" fillId="9" borderId="14" xfId="932" applyFont="1" applyFill="1" applyBorder="1" applyAlignment="1">
      <alignment horizontal="center" vertical="center"/>
    </xf>
    <xf numFmtId="0" fontId="36" fillId="9" borderId="3" xfId="932" applyFont="1" applyFill="1" applyBorder="1" applyAlignment="1">
      <alignment horizontal="center" vertical="center"/>
    </xf>
    <xf numFmtId="0" fontId="16" fillId="0" borderId="3" xfId="932" applyFont="1" applyBorder="1" applyAlignment="1">
      <alignment horizontal="center" vertical="center"/>
    </xf>
    <xf numFmtId="0" fontId="28" fillId="0" borderId="0" xfId="932" applyFont="1" applyAlignment="1">
      <alignment horizontal="center" vertical="top"/>
    </xf>
    <xf numFmtId="0" fontId="45" fillId="0" borderId="0" xfId="932" applyFont="1" applyAlignment="1">
      <alignment horizontal="left" vertical="center"/>
    </xf>
    <xf numFmtId="0" fontId="30" fillId="0" borderId="0" xfId="932" applyFont="1" applyAlignment="1">
      <alignment horizontal="left" vertical="center"/>
    </xf>
    <xf numFmtId="166" fontId="30" fillId="0" borderId="0" xfId="932" applyNumberFormat="1" applyFont="1" applyAlignment="1">
      <alignment horizontal="left" vertical="center"/>
    </xf>
    <xf numFmtId="166" fontId="30" fillId="0" borderId="0" xfId="932" applyNumberFormat="1" applyFont="1" applyAlignment="1">
      <alignment horizontal="center" vertical="center"/>
    </xf>
    <xf numFmtId="0" fontId="32" fillId="9" borderId="20" xfId="932" applyFont="1" applyFill="1" applyBorder="1" applyAlignment="1">
      <alignment horizontal="center" vertical="center"/>
    </xf>
    <xf numFmtId="0" fontId="32" fillId="0" borderId="35" xfId="932" applyFont="1" applyBorder="1" applyAlignment="1">
      <alignment horizontal="center" vertical="center"/>
    </xf>
    <xf numFmtId="0" fontId="35" fillId="9" borderId="34" xfId="932" applyFont="1" applyFill="1" applyBorder="1" applyAlignment="1">
      <alignment horizontal="center" vertical="center"/>
    </xf>
    <xf numFmtId="0" fontId="35" fillId="0" borderId="34" xfId="932" applyFont="1" applyBorder="1" applyAlignment="1">
      <alignment horizontal="left" vertical="center"/>
    </xf>
    <xf numFmtId="0" fontId="35" fillId="0" borderId="35" xfId="932" applyFont="1" applyBorder="1" applyAlignment="1">
      <alignment horizontal="center" vertical="center"/>
    </xf>
    <xf numFmtId="0" fontId="36" fillId="0" borderId="36" xfId="932" applyFont="1" applyBorder="1" applyAlignment="1">
      <alignment horizontal="left" vertical="center"/>
    </xf>
    <xf numFmtId="0" fontId="34" fillId="9" borderId="14" xfId="932" applyFont="1" applyFill="1" applyBorder="1" applyAlignment="1">
      <alignment horizontal="center" vertical="center"/>
    </xf>
    <xf numFmtId="0" fontId="34" fillId="9" borderId="3" xfId="932" applyFont="1" applyFill="1" applyBorder="1" applyAlignment="1">
      <alignment horizontal="center" vertical="center"/>
    </xf>
    <xf numFmtId="0" fontId="36" fillId="0" borderId="35" xfId="932" applyFont="1" applyBorder="1" applyAlignment="1">
      <alignment vertical="center"/>
    </xf>
    <xf numFmtId="0" fontId="46" fillId="0" borderId="1" xfId="932" applyFont="1" applyBorder="1" applyAlignment="1">
      <alignment horizontal="center" vertical="center"/>
    </xf>
    <xf numFmtId="0" fontId="32" fillId="9" borderId="14" xfId="932" applyFont="1" applyFill="1" applyBorder="1" applyAlignment="1">
      <alignment horizontal="center" vertical="center" shrinkToFit="1"/>
    </xf>
    <xf numFmtId="0" fontId="32" fillId="9" borderId="3" xfId="932" applyFont="1" applyFill="1" applyBorder="1" applyAlignment="1">
      <alignment vertical="center" shrinkToFit="1"/>
    </xf>
    <xf numFmtId="0" fontId="35" fillId="0" borderId="37" xfId="932" applyFont="1" applyBorder="1" applyAlignment="1">
      <alignment horizontal="center" vertical="center"/>
    </xf>
    <xf numFmtId="0" fontId="36" fillId="0" borderId="40" xfId="932" applyFont="1" applyBorder="1" applyAlignment="1">
      <alignment vertical="center"/>
    </xf>
    <xf numFmtId="0" fontId="36" fillId="0" borderId="40" xfId="932" applyFont="1" applyBorder="1" applyAlignment="1">
      <alignment horizontal="center" vertical="center"/>
    </xf>
    <xf numFmtId="0" fontId="30" fillId="0" borderId="40" xfId="932" applyFont="1" applyBorder="1" applyAlignment="1">
      <alignment horizontal="center" vertical="center"/>
    </xf>
    <xf numFmtId="0" fontId="36" fillId="0" borderId="41" xfId="932" applyFont="1" applyBorder="1" applyAlignment="1">
      <alignment horizontal="left" vertical="center"/>
    </xf>
    <xf numFmtId="0" fontId="29" fillId="0" borderId="19" xfId="0" applyFont="1" applyBorder="1"/>
    <xf numFmtId="0" fontId="29" fillId="0" borderId="20" xfId="0" applyFont="1" applyBorder="1"/>
    <xf numFmtId="0" fontId="29" fillId="0" borderId="21" xfId="0" applyFont="1" applyBorder="1"/>
    <xf numFmtId="0" fontId="29" fillId="0" borderId="0" xfId="0" applyFont="1"/>
    <xf numFmtId="0" fontId="29" fillId="0" borderId="19" xfId="0" applyFont="1" applyBorder="1" applyAlignment="1">
      <alignment vertical="center"/>
    </xf>
    <xf numFmtId="0" fontId="29" fillId="0" borderId="20" xfId="0" applyFont="1" applyBorder="1" applyAlignment="1">
      <alignment vertical="center"/>
    </xf>
    <xf numFmtId="0" fontId="29" fillId="0" borderId="21" xfId="0" applyFont="1" applyBorder="1" applyAlignment="1">
      <alignment vertical="center"/>
    </xf>
    <xf numFmtId="0" fontId="30" fillId="0" borderId="0" xfId="0" applyFont="1"/>
    <xf numFmtId="0" fontId="29" fillId="0" borderId="26" xfId="0" applyFont="1" applyBorder="1"/>
    <xf numFmtId="0" fontId="29" fillId="0" borderId="15" xfId="0" applyFont="1" applyBorder="1"/>
    <xf numFmtId="167" fontId="29" fillId="0" borderId="15" xfId="0" applyNumberFormat="1" applyFont="1" applyBorder="1" applyAlignment="1">
      <alignment horizontal="center"/>
    </xf>
    <xf numFmtId="0" fontId="29" fillId="0" borderId="27" xfId="0" applyFont="1" applyBorder="1"/>
    <xf numFmtId="0" fontId="29" fillId="0" borderId="22" xfId="0" applyFont="1" applyBorder="1"/>
    <xf numFmtId="0" fontId="29" fillId="0" borderId="23" xfId="0" applyFont="1" applyBorder="1"/>
    <xf numFmtId="0" fontId="30" fillId="0" borderId="22" xfId="0" applyFont="1" applyBorder="1"/>
    <xf numFmtId="0" fontId="30" fillId="0" borderId="23" xfId="0" applyFont="1" applyBorder="1"/>
    <xf numFmtId="0" fontId="29" fillId="0" borderId="28" xfId="0" applyFont="1" applyBorder="1"/>
    <xf numFmtId="0" fontId="29" fillId="0" borderId="29" xfId="0" applyFont="1" applyBorder="1"/>
    <xf numFmtId="0" fontId="29" fillId="0" borderId="30" xfId="0" applyFont="1" applyBorder="1"/>
    <xf numFmtId="0" fontId="16" fillId="0" borderId="0" xfId="932" applyFont="1" applyAlignment="1">
      <alignment horizontal="right" vertical="top"/>
    </xf>
    <xf numFmtId="15" fontId="38" fillId="10" borderId="1" xfId="0" quotePrefix="1" applyNumberFormat="1" applyFont="1" applyFill="1" applyBorder="1" applyAlignment="1">
      <alignment horizontal="left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22" fillId="0" borderId="0" xfId="0" applyFont="1" applyAlignment="1">
      <alignment horizontal="center"/>
    </xf>
    <xf numFmtId="0" fontId="24" fillId="0" borderId="1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5" fillId="6" borderId="4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/>
    </xf>
    <xf numFmtId="0" fontId="5" fillId="6" borderId="12" xfId="0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  <xf numFmtId="0" fontId="5" fillId="6" borderId="10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12" xfId="0" applyFont="1" applyBorder="1" applyAlignment="1">
      <alignment horizontal="right" vertical="center"/>
    </xf>
    <xf numFmtId="0" fontId="4" fillId="0" borderId="13" xfId="0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5" xfId="0" applyFont="1" applyBorder="1" applyAlignment="1">
      <alignment horizontal="right" vertical="center"/>
    </xf>
    <xf numFmtId="164" fontId="4" fillId="0" borderId="15" xfId="0" applyNumberFormat="1" applyFont="1" applyBorder="1" applyAlignment="1">
      <alignment horizontal="left" vertical="center"/>
    </xf>
    <xf numFmtId="164" fontId="4" fillId="0" borderId="3" xfId="0" applyNumberFormat="1" applyFont="1" applyBorder="1" applyAlignment="1">
      <alignment horizontal="left" vertical="center"/>
    </xf>
    <xf numFmtId="0" fontId="3" fillId="4" borderId="14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8" fillId="0" borderId="14" xfId="0" applyFont="1" applyBorder="1" applyAlignment="1">
      <alignment horizontal="left"/>
    </xf>
    <xf numFmtId="0" fontId="38" fillId="0" borderId="3" xfId="0" applyFont="1" applyBorder="1" applyAlignment="1">
      <alignment horizontal="left"/>
    </xf>
    <xf numFmtId="0" fontId="0" fillId="10" borderId="14" xfId="0" quotePrefix="1" applyFill="1" applyBorder="1" applyAlignment="1">
      <alignment horizontal="left"/>
    </xf>
    <xf numFmtId="0" fontId="0" fillId="10" borderId="15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3" fontId="6" fillId="10" borderId="11" xfId="0" quotePrefix="1" applyNumberFormat="1" applyFont="1" applyFill="1" applyBorder="1" applyAlignment="1">
      <alignment horizontal="left" wrapText="1"/>
    </xf>
    <xf numFmtId="0" fontId="6" fillId="10" borderId="11" xfId="0" applyFont="1" applyFill="1" applyBorder="1" applyAlignment="1">
      <alignment horizontal="left" wrapText="1"/>
    </xf>
    <xf numFmtId="3" fontId="6" fillId="10" borderId="1" xfId="0" quotePrefix="1" applyNumberFormat="1" applyFont="1" applyFill="1" applyBorder="1" applyAlignment="1">
      <alignment horizontal="left" wrapText="1"/>
    </xf>
    <xf numFmtId="0" fontId="6" fillId="10" borderId="1" xfId="0" applyFont="1" applyFill="1" applyBorder="1" applyAlignment="1">
      <alignment horizontal="left" wrapText="1"/>
    </xf>
    <xf numFmtId="0" fontId="38" fillId="10" borderId="14" xfId="0" applyFont="1" applyFill="1" applyBorder="1" applyAlignment="1">
      <alignment horizontal="center"/>
    </xf>
    <xf numFmtId="0" fontId="38" fillId="10" borderId="15" xfId="0" applyFont="1" applyFill="1" applyBorder="1" applyAlignment="1">
      <alignment horizontal="center"/>
    </xf>
    <xf numFmtId="0" fontId="38" fillId="10" borderId="3" xfId="0" applyFont="1" applyFill="1" applyBorder="1" applyAlignment="1">
      <alignment horizontal="center"/>
    </xf>
    <xf numFmtId="0" fontId="37" fillId="0" borderId="24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7" fillId="0" borderId="25" xfId="0" applyFont="1" applyBorder="1" applyAlignment="1">
      <alignment horizontal="center"/>
    </xf>
    <xf numFmtId="167" fontId="29" fillId="0" borderId="15" xfId="0" applyNumberFormat="1" applyFont="1" applyBorder="1" applyAlignment="1">
      <alignment horizontal="left"/>
    </xf>
    <xf numFmtId="167" fontId="29" fillId="0" borderId="27" xfId="0" applyNumberFormat="1" applyFont="1" applyBorder="1" applyAlignment="1">
      <alignment horizontal="left"/>
    </xf>
    <xf numFmtId="0" fontId="30" fillId="0" borderId="24" xfId="0" applyFont="1" applyBorder="1" applyAlignment="1">
      <alignment horizontal="center"/>
    </xf>
    <xf numFmtId="0" fontId="30" fillId="0" borderId="13" xfId="0" applyFont="1" applyBorder="1" applyAlignment="1">
      <alignment horizontal="center"/>
    </xf>
    <xf numFmtId="0" fontId="30" fillId="0" borderId="25" xfId="0" applyFont="1" applyBorder="1" applyAlignment="1">
      <alignment horizontal="center"/>
    </xf>
    <xf numFmtId="0" fontId="29" fillId="0" borderId="28" xfId="0" applyFont="1" applyBorder="1" applyAlignment="1">
      <alignment horizontal="center"/>
    </xf>
    <xf numFmtId="0" fontId="29" fillId="0" borderId="29" xfId="0" applyFont="1" applyBorder="1" applyAlignment="1">
      <alignment horizontal="center"/>
    </xf>
    <xf numFmtId="0" fontId="29" fillId="0" borderId="30" xfId="0" applyFont="1" applyBorder="1" applyAlignment="1">
      <alignment horizontal="center"/>
    </xf>
    <xf numFmtId="0" fontId="36" fillId="9" borderId="14" xfId="932" applyFont="1" applyFill="1" applyBorder="1" applyAlignment="1">
      <alignment horizontal="center" vertical="center"/>
    </xf>
    <xf numFmtId="0" fontId="16" fillId="0" borderId="3" xfId="932" applyFont="1" applyBorder="1" applyAlignment="1">
      <alignment horizontal="center" vertical="center"/>
    </xf>
    <xf numFmtId="0" fontId="36" fillId="9" borderId="3" xfId="932" applyFont="1" applyFill="1" applyBorder="1" applyAlignment="1">
      <alignment horizontal="center" vertical="center"/>
    </xf>
    <xf numFmtId="0" fontId="36" fillId="9" borderId="38" xfId="932" applyFont="1" applyFill="1" applyBorder="1" applyAlignment="1">
      <alignment horizontal="center" vertical="center"/>
    </xf>
    <xf numFmtId="0" fontId="36" fillId="9" borderId="39" xfId="932" applyFont="1" applyFill="1" applyBorder="1" applyAlignment="1">
      <alignment horizontal="center" vertical="center"/>
    </xf>
    <xf numFmtId="0" fontId="8" fillId="0" borderId="3" xfId="932" applyFont="1" applyBorder="1" applyAlignment="1">
      <alignment horizontal="center" vertical="center"/>
    </xf>
    <xf numFmtId="0" fontId="28" fillId="0" borderId="0" xfId="932" applyFont="1" applyAlignment="1">
      <alignment horizontal="center" vertical="top"/>
    </xf>
    <xf numFmtId="0" fontId="31" fillId="9" borderId="19" xfId="932" applyFont="1" applyFill="1" applyBorder="1" applyAlignment="1">
      <alignment horizontal="center" vertical="center"/>
    </xf>
    <xf numFmtId="0" fontId="31" fillId="9" borderId="20" xfId="932" applyFont="1" applyFill="1" applyBorder="1" applyAlignment="1">
      <alignment horizontal="center" vertical="center"/>
    </xf>
    <xf numFmtId="0" fontId="31" fillId="9" borderId="24" xfId="932" applyFont="1" applyFill="1" applyBorder="1" applyAlignment="1">
      <alignment horizontal="center" vertical="center"/>
    </xf>
    <xf numFmtId="0" fontId="31" fillId="9" borderId="13" xfId="932" applyFont="1" applyFill="1" applyBorder="1" applyAlignment="1">
      <alignment horizontal="center" vertical="center"/>
    </xf>
    <xf numFmtId="0" fontId="31" fillId="9" borderId="31" xfId="932" applyFont="1" applyFill="1" applyBorder="1" applyAlignment="1">
      <alignment horizontal="center" vertical="center"/>
    </xf>
    <xf numFmtId="0" fontId="31" fillId="9" borderId="11" xfId="932" applyFont="1" applyFill="1" applyBorder="1" applyAlignment="1">
      <alignment horizontal="center" vertical="center"/>
    </xf>
    <xf numFmtId="0" fontId="32" fillId="9" borderId="31" xfId="932" applyFont="1" applyFill="1" applyBorder="1" applyAlignment="1">
      <alignment horizontal="center" vertical="center" wrapText="1"/>
    </xf>
    <xf numFmtId="0" fontId="32" fillId="9" borderId="11" xfId="932" applyFont="1" applyFill="1" applyBorder="1" applyAlignment="1">
      <alignment horizontal="center" vertical="center" wrapText="1"/>
    </xf>
    <xf numFmtId="0" fontId="31" fillId="9" borderId="32" xfId="932" applyFont="1" applyFill="1" applyBorder="1" applyAlignment="1">
      <alignment horizontal="center" vertical="center"/>
    </xf>
    <xf numFmtId="0" fontId="31" fillId="9" borderId="33" xfId="932" applyFont="1" applyFill="1" applyBorder="1" applyAlignment="1">
      <alignment horizontal="center" vertical="center"/>
    </xf>
    <xf numFmtId="0" fontId="31" fillId="9" borderId="34" xfId="932" applyFont="1" applyFill="1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4" fillId="0" borderId="4" xfId="0" applyFont="1" applyBorder="1" applyAlignment="1">
      <alignment horizontal="center"/>
    </xf>
    <xf numFmtId="0" fontId="24" fillId="0" borderId="2" xfId="0" applyFont="1" applyBorder="1" applyAlignment="1">
      <alignment horizontal="center"/>
    </xf>
    <xf numFmtId="0" fontId="24" fillId="0" borderId="9" xfId="0" applyFont="1" applyBorder="1" applyAlignment="1">
      <alignment horizontal="center"/>
    </xf>
    <xf numFmtId="0" fontId="24" fillId="0" borderId="5" xfId="0" applyFont="1" applyBorder="1" applyAlignment="1">
      <alignment horizontal="center"/>
    </xf>
    <xf numFmtId="0" fontId="24" fillId="0" borderId="7" xfId="0" applyFont="1" applyBorder="1" applyAlignment="1">
      <alignment horizontal="center"/>
    </xf>
    <xf numFmtId="0" fontId="24" fillId="0" borderId="12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24" fillId="0" borderId="10" xfId="0" applyFont="1" applyBorder="1" applyAlignment="1">
      <alignment horizontal="center"/>
    </xf>
    <xf numFmtId="0" fontId="22" fillId="0" borderId="0" xfId="0" applyFont="1" applyAlignment="1">
      <alignment horizontal="left"/>
    </xf>
    <xf numFmtId="0" fontId="47" fillId="0" borderId="4" xfId="0" applyFont="1" applyBorder="1" applyAlignment="1">
      <alignment horizontal="center" vertical="center"/>
    </xf>
    <xf numFmtId="0" fontId="47" fillId="0" borderId="2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47" fillId="0" borderId="0" xfId="0" applyFont="1" applyAlignment="1">
      <alignment horizontal="center" vertical="center"/>
    </xf>
    <xf numFmtId="0" fontId="47" fillId="0" borderId="7" xfId="0" applyFont="1" applyBorder="1" applyAlignment="1">
      <alignment horizontal="center" vertical="center"/>
    </xf>
    <xf numFmtId="0" fontId="47" fillId="0" borderId="12" xfId="0" applyFont="1" applyBorder="1" applyAlignment="1">
      <alignment horizontal="center" vertical="center"/>
    </xf>
    <xf numFmtId="0" fontId="47" fillId="0" borderId="13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4" fillId="0" borderId="6" xfId="0" applyFont="1" applyBorder="1" applyAlignment="1">
      <alignment horizontal="center"/>
    </xf>
  </cellXfs>
  <cellStyles count="987">
    <cellStyle name="_14061 xx Daily Performance Report v1 0 061220" xfId="7" xr:uid="{00000000-0005-0000-0000-000000000000}"/>
    <cellStyle name="_BDH_0724_dr" xfId="8" xr:uid="{00000000-0005-0000-0000-000001000000}"/>
    <cellStyle name="_Outages_Dec01" xfId="9" xr:uid="{00000000-0005-0000-0000-000002000000}"/>
    <cellStyle name="_Outages_Dec01_DR_18Apr2002" xfId="10" xr:uid="{00000000-0005-0000-0000-000003000000}"/>
    <cellStyle name="_Outages_Dec01_DR_18Apr2002_BDH_0724_dr" xfId="11" xr:uid="{00000000-0005-0000-0000-000004000000}"/>
    <cellStyle name="_Outages_Dec01_Ericsson_DR_0419" xfId="12" xr:uid="{00000000-0005-0000-0000-000005000000}"/>
    <cellStyle name="_Outages_Dec01_Ericsson_DR_0419_BDH_0724_dr" xfId="13" xr:uid="{00000000-0005-0000-0000-000006000000}"/>
    <cellStyle name="_Outages_Dec01_Lucent_DR_0419" xfId="14" xr:uid="{00000000-0005-0000-0000-000007000000}"/>
    <cellStyle name="_Outages_Dec01_Lucent_DR_0419_BDH_0724_dr" xfId="15" xr:uid="{00000000-0005-0000-0000-000008000000}"/>
    <cellStyle name="_Outages_Dec02" xfId="16" xr:uid="{00000000-0005-0000-0000-000009000000}"/>
    <cellStyle name="_Outages_Dec02_DR_18Apr2002" xfId="17" xr:uid="{00000000-0005-0000-0000-00000A000000}"/>
    <cellStyle name="_Outages_Dec02_DR_18Apr2002_BDH_0724_dr" xfId="18" xr:uid="{00000000-0005-0000-0000-00000B000000}"/>
    <cellStyle name="_Outages_Dec02_Ericsson_DR_0419" xfId="19" xr:uid="{00000000-0005-0000-0000-00000C000000}"/>
    <cellStyle name="_Outages_Dec02_Ericsson_DR_0419_BDH_0724_dr" xfId="20" xr:uid="{00000000-0005-0000-0000-00000D000000}"/>
    <cellStyle name="_Outages_Dec02_Lucent_DR_0419" xfId="21" xr:uid="{00000000-0005-0000-0000-00000E000000}"/>
    <cellStyle name="_Outages_Dec02_Lucent_DR_0419_BDH_0724_dr" xfId="22" xr:uid="{00000000-0005-0000-0000-00000F000000}"/>
    <cellStyle name="_Outages_Dec03" xfId="23" xr:uid="{00000000-0005-0000-0000-000010000000}"/>
    <cellStyle name="_Outages_Dec03_DR_18Apr2002" xfId="24" xr:uid="{00000000-0005-0000-0000-000011000000}"/>
    <cellStyle name="_Outages_Dec03_DR_18Apr2002_BDH_0724_dr" xfId="25" xr:uid="{00000000-0005-0000-0000-000012000000}"/>
    <cellStyle name="_Outages_Dec03_Ericsson_DR_0419" xfId="26" xr:uid="{00000000-0005-0000-0000-000013000000}"/>
    <cellStyle name="_Outages_Dec03_Ericsson_DR_0419_BDH_0724_dr" xfId="27" xr:uid="{00000000-0005-0000-0000-000014000000}"/>
    <cellStyle name="_Outages_Dec03_Lucent_DR_0419" xfId="28" xr:uid="{00000000-0005-0000-0000-000015000000}"/>
    <cellStyle name="_Outages_Dec03_Lucent_DR_0419_BDH_0724_dr" xfId="29" xr:uid="{00000000-0005-0000-0000-000016000000}"/>
    <cellStyle name="_Outages_Dec04" xfId="30" xr:uid="{00000000-0005-0000-0000-000017000000}"/>
    <cellStyle name="_Outages_Dec04_DR_18Apr2002" xfId="31" xr:uid="{00000000-0005-0000-0000-000018000000}"/>
    <cellStyle name="_Outages_Dec04_DR_18Apr2002_BDH_0724_dr" xfId="32" xr:uid="{00000000-0005-0000-0000-000019000000}"/>
    <cellStyle name="_Outages_Dec04_Ericsson_DR_0419" xfId="33" xr:uid="{00000000-0005-0000-0000-00001A000000}"/>
    <cellStyle name="_Outages_Dec04_Ericsson_DR_0419_BDH_0724_dr" xfId="34" xr:uid="{00000000-0005-0000-0000-00001B000000}"/>
    <cellStyle name="_Outages_Dec04_Lucent_DR_0419" xfId="35" xr:uid="{00000000-0005-0000-0000-00001C000000}"/>
    <cellStyle name="_Outages_Dec04_Lucent_DR_0419_BDH_0724_dr" xfId="36" xr:uid="{00000000-0005-0000-0000-00001D000000}"/>
    <cellStyle name="_Outages_Dec23" xfId="37" xr:uid="{00000000-0005-0000-0000-00001E000000}"/>
    <cellStyle name="_Outages_Dec23_DR_18Apr2002" xfId="38" xr:uid="{00000000-0005-0000-0000-00001F000000}"/>
    <cellStyle name="_Outages_Dec23_DR_18Apr2002_BDH_0724_dr" xfId="39" xr:uid="{00000000-0005-0000-0000-000020000000}"/>
    <cellStyle name="_Outages_Dec23_Ericsson_DR_0419" xfId="40" xr:uid="{00000000-0005-0000-0000-000021000000}"/>
    <cellStyle name="_Outages_Dec23_Ericsson_DR_0419_BDH_0724_dr" xfId="41" xr:uid="{00000000-0005-0000-0000-000022000000}"/>
    <cellStyle name="_Outages_Dec23_Lucent_DR_0419" xfId="42" xr:uid="{00000000-0005-0000-0000-000023000000}"/>
    <cellStyle name="_Outages_Dec23_Lucent_DR_0419_BDH_0724_dr" xfId="43" xr:uid="{00000000-0005-0000-0000-000024000000}"/>
    <cellStyle name="_Outages_Dec25" xfId="44" xr:uid="{00000000-0005-0000-0000-000025000000}"/>
    <cellStyle name="_Outages_Dec25_DR_18Apr2002" xfId="45" xr:uid="{00000000-0005-0000-0000-000026000000}"/>
    <cellStyle name="_Outages_Dec25_DR_18Apr2002_BDH_0724_dr" xfId="46" xr:uid="{00000000-0005-0000-0000-000027000000}"/>
    <cellStyle name="_Outages_Dec25_Ericsson_DR_0419" xfId="47" xr:uid="{00000000-0005-0000-0000-000028000000}"/>
    <cellStyle name="_Outages_Dec25_Ericsson_DR_0419_BDH_0724_dr" xfId="48" xr:uid="{00000000-0005-0000-0000-000029000000}"/>
    <cellStyle name="_Outages_Dec25_Lucent_DR_0419" xfId="49" xr:uid="{00000000-0005-0000-0000-00002A000000}"/>
    <cellStyle name="_Outages_Dec25_Lucent_DR_0419_BDH_0724_dr" xfId="50" xr:uid="{00000000-0005-0000-0000-00002B000000}"/>
    <cellStyle name="_Outages_Dec26" xfId="51" xr:uid="{00000000-0005-0000-0000-00002C000000}"/>
    <cellStyle name="_Outages_Dec26_DR_18Apr2002" xfId="52" xr:uid="{00000000-0005-0000-0000-00002D000000}"/>
    <cellStyle name="_Outages_Dec26_DR_18Apr2002_BDH_0724_dr" xfId="53" xr:uid="{00000000-0005-0000-0000-00002E000000}"/>
    <cellStyle name="_Outages_Dec26_Ericsson_DR_0419" xfId="54" xr:uid="{00000000-0005-0000-0000-00002F000000}"/>
    <cellStyle name="_Outages_Dec26_Ericsson_DR_0419_BDH_0724_dr" xfId="55" xr:uid="{00000000-0005-0000-0000-000030000000}"/>
    <cellStyle name="_Outages_Dec26_Lucent_DR_0419" xfId="56" xr:uid="{00000000-0005-0000-0000-000031000000}"/>
    <cellStyle name="_Outages_Dec26_Lucent_DR_0419_BDH_0724_dr" xfId="57" xr:uid="{00000000-0005-0000-0000-000032000000}"/>
    <cellStyle name="_Outages_Dec27" xfId="58" xr:uid="{00000000-0005-0000-0000-000033000000}"/>
    <cellStyle name="_Outages_Dec27_DR_18Apr2002" xfId="59" xr:uid="{00000000-0005-0000-0000-000034000000}"/>
    <cellStyle name="_Outages_Dec27_DR_18Apr2002_BDH_0724_dr" xfId="60" xr:uid="{00000000-0005-0000-0000-000035000000}"/>
    <cellStyle name="_Outages_Dec27_Ericsson_DR_0419" xfId="61" xr:uid="{00000000-0005-0000-0000-000036000000}"/>
    <cellStyle name="_Outages_Dec27_Ericsson_DR_0419_BDH_0724_dr" xfId="62" xr:uid="{00000000-0005-0000-0000-000037000000}"/>
    <cellStyle name="_Outages_Dec27_Lucent_DR_0419" xfId="63" xr:uid="{00000000-0005-0000-0000-000038000000}"/>
    <cellStyle name="_Outages_Dec27_Lucent_DR_0419_BDH_0724_dr" xfId="64" xr:uid="{00000000-0005-0000-0000-000039000000}"/>
    <cellStyle name="_Outages_Dec28" xfId="65" xr:uid="{00000000-0005-0000-0000-00003A000000}"/>
    <cellStyle name="_Outages_Dec28_DR_18Apr2002" xfId="66" xr:uid="{00000000-0005-0000-0000-00003B000000}"/>
    <cellStyle name="_Outages_Dec28_DR_18Apr2002_BDH_0724_dr" xfId="67" xr:uid="{00000000-0005-0000-0000-00003C000000}"/>
    <cellStyle name="_Outages_Dec28_Ericsson_DR_0419" xfId="68" xr:uid="{00000000-0005-0000-0000-00003D000000}"/>
    <cellStyle name="_Outages_Dec28_Ericsson_DR_0419_BDH_0724_dr" xfId="69" xr:uid="{00000000-0005-0000-0000-00003E000000}"/>
    <cellStyle name="_Outages_Dec28_Lucent_DR_0419" xfId="70" xr:uid="{00000000-0005-0000-0000-00003F000000}"/>
    <cellStyle name="_Outages_Dec28_Lucent_DR_0419_BDH_0724_dr" xfId="71" xr:uid="{00000000-0005-0000-0000-000040000000}"/>
    <cellStyle name="_Outages_Dec29" xfId="72" xr:uid="{00000000-0005-0000-0000-000041000000}"/>
    <cellStyle name="_Outages_Dec29_DR_18Apr2002" xfId="73" xr:uid="{00000000-0005-0000-0000-000042000000}"/>
    <cellStyle name="_Outages_Dec29_DR_18Apr2002_BDH_0724_dr" xfId="74" xr:uid="{00000000-0005-0000-0000-000043000000}"/>
    <cellStyle name="_Outages_Dec29_Ericsson_DR_0419" xfId="75" xr:uid="{00000000-0005-0000-0000-000044000000}"/>
    <cellStyle name="_Outages_Dec29_Ericsson_DR_0419_BDH_0724_dr" xfId="76" xr:uid="{00000000-0005-0000-0000-000045000000}"/>
    <cellStyle name="_Outages_Dec29_Lucent_DR_0419" xfId="77" xr:uid="{00000000-0005-0000-0000-000046000000}"/>
    <cellStyle name="_Outages_Dec29_Lucent_DR_0419_BDH_0724_dr" xfId="78" xr:uid="{00000000-0005-0000-0000-000047000000}"/>
    <cellStyle name="_Outages_Dec30" xfId="79" xr:uid="{00000000-0005-0000-0000-000048000000}"/>
    <cellStyle name="_Outages_Dec30_DR_18Apr2002" xfId="80" xr:uid="{00000000-0005-0000-0000-000049000000}"/>
    <cellStyle name="_Outages_Dec30_DR_18Apr2002_BDH_0724_dr" xfId="81" xr:uid="{00000000-0005-0000-0000-00004A000000}"/>
    <cellStyle name="_Outages_Dec30_Ericsson_DR_0419" xfId="82" xr:uid="{00000000-0005-0000-0000-00004B000000}"/>
    <cellStyle name="_Outages_Dec30_Ericsson_DR_0419_BDH_0724_dr" xfId="83" xr:uid="{00000000-0005-0000-0000-00004C000000}"/>
    <cellStyle name="_Outages_Dec30_Lucent_DR_0419" xfId="84" xr:uid="{00000000-0005-0000-0000-00004D000000}"/>
    <cellStyle name="_Outages_Dec30_Lucent_DR_0419_BDH_0724_dr" xfId="85" xr:uid="{00000000-0005-0000-0000-00004E000000}"/>
    <cellStyle name="_Outages_Dec30plate" xfId="86" xr:uid="{00000000-0005-0000-0000-00004F000000}"/>
    <cellStyle name="_Outages_Dec30plate_DR_18Apr2002" xfId="87" xr:uid="{00000000-0005-0000-0000-000050000000}"/>
    <cellStyle name="_Outages_Dec30plate_DR_18Apr2002_BDH_0724_dr" xfId="88" xr:uid="{00000000-0005-0000-0000-000051000000}"/>
    <cellStyle name="_Outages_Dec30plate_Ericsson_DR_0419" xfId="89" xr:uid="{00000000-0005-0000-0000-000052000000}"/>
    <cellStyle name="_Outages_Dec30plate_Ericsson_DR_0419_BDH_0724_dr" xfId="90" xr:uid="{00000000-0005-0000-0000-000053000000}"/>
    <cellStyle name="_Outages_Dec30plate_Lucent_DR_0419" xfId="91" xr:uid="{00000000-0005-0000-0000-000054000000}"/>
    <cellStyle name="_Outages_Dec30plate_Lucent_DR_0419_BDH_0724_dr" xfId="92" xr:uid="{00000000-0005-0000-0000-000055000000}"/>
    <cellStyle name="_Outages_Dec31" xfId="93" xr:uid="{00000000-0005-0000-0000-000056000000}"/>
    <cellStyle name="_Outages_Dec31_DR_18Apr2002" xfId="94" xr:uid="{00000000-0005-0000-0000-000057000000}"/>
    <cellStyle name="_Outages_Dec31_DR_18Apr2002_BDH_0724_dr" xfId="95" xr:uid="{00000000-0005-0000-0000-000058000000}"/>
    <cellStyle name="_Outages_Dec31_Ericsson_DR_0419" xfId="96" xr:uid="{00000000-0005-0000-0000-000059000000}"/>
    <cellStyle name="_Outages_Dec31_Ericsson_DR_0419_BDH_0724_dr" xfId="97" xr:uid="{00000000-0005-0000-0000-00005A000000}"/>
    <cellStyle name="_Outages_Dec31_Lucent_DR_0419" xfId="98" xr:uid="{00000000-0005-0000-0000-00005B000000}"/>
    <cellStyle name="_Outages_Dec31_Lucent_DR_0419_BDH_0724_dr" xfId="99" xr:uid="{00000000-0005-0000-0000-00005C000000}"/>
    <cellStyle name="_Outages_Feb04" xfId="100" xr:uid="{00000000-0005-0000-0000-00005D000000}"/>
    <cellStyle name="_Outages_Feb04_BDH_0724_dr" xfId="101" xr:uid="{00000000-0005-0000-0000-00005E000000}"/>
    <cellStyle name="_Outages_Feb04_DR_22Apr2002" xfId="102" xr:uid="{00000000-0005-0000-0000-00005F000000}"/>
    <cellStyle name="_Outages_Feb04_DR_22Apr2002_BDH_0724_dr" xfId="103" xr:uid="{00000000-0005-0000-0000-000060000000}"/>
    <cellStyle name="_Outages_Feb04_DR_25May2002" xfId="104" xr:uid="{00000000-0005-0000-0000-000061000000}"/>
    <cellStyle name="_Outages_Feb04_DR_27Apr2002" xfId="105" xr:uid="{00000000-0005-0000-0000-000062000000}"/>
    <cellStyle name="_Outages_Feb04_DR_27Apr2002_BDH_0724_dr" xfId="106" xr:uid="{00000000-0005-0000-0000-000063000000}"/>
    <cellStyle name="_Outages_Feb04_DR2002_05_20" xfId="107" xr:uid="{00000000-0005-0000-0000-000064000000}"/>
    <cellStyle name="_Outages_Feb04_DR2002_05_22" xfId="108" xr:uid="{00000000-0005-0000-0000-000065000000}"/>
    <cellStyle name="_Outages_Feb04_DR2002_05_25" xfId="109" xr:uid="{00000000-0005-0000-0000-000066000000}"/>
    <cellStyle name="_Outages_Feb04_DR2002_05_26" xfId="110" xr:uid="{00000000-0005-0000-0000-000067000000}"/>
    <cellStyle name="_Outages_Feb04_DR2002_05_27" xfId="111" xr:uid="{00000000-0005-0000-0000-000068000000}"/>
    <cellStyle name="_Outages_Feb04_DR2002_05_28" xfId="112" xr:uid="{00000000-0005-0000-0000-000069000000}"/>
    <cellStyle name="_Outages_Feb04_DR2002_05_29" xfId="113" xr:uid="{00000000-0005-0000-0000-00006A000000}"/>
    <cellStyle name="_Outages_Feb04_DR2002_05_30" xfId="114" xr:uid="{00000000-0005-0000-0000-00006B000000}"/>
    <cellStyle name="_Outages_Feb04_DR2002_05_31" xfId="115" xr:uid="{00000000-0005-0000-0000-00006C000000}"/>
    <cellStyle name="_Outages_Feb04_DR2002_06_01" xfId="116" xr:uid="{00000000-0005-0000-0000-00006D000000}"/>
    <cellStyle name="_Outages_Feb04_DR2002_06_02" xfId="117" xr:uid="{00000000-0005-0000-0000-00006E000000}"/>
    <cellStyle name="_Outages_Feb04_DR2002_06_04" xfId="118" xr:uid="{00000000-0005-0000-0000-00006F000000}"/>
    <cellStyle name="_Outages_Feb04_DR2002_06_05" xfId="119" xr:uid="{00000000-0005-0000-0000-000070000000}"/>
    <cellStyle name="_Outages_Feb04_DR2002_06_06" xfId="120" xr:uid="{00000000-0005-0000-0000-000071000000}"/>
    <cellStyle name="_Outages_Feb04_DR2002_06_07" xfId="121" xr:uid="{00000000-0005-0000-0000-000072000000}"/>
    <cellStyle name="_Outages_Feb04_DR2002_06_08" xfId="122" xr:uid="{00000000-0005-0000-0000-000073000000}"/>
    <cellStyle name="_Outages_Feb04_DR2002_06_09" xfId="123" xr:uid="{00000000-0005-0000-0000-000074000000}"/>
    <cellStyle name="_Outages_Feb04_DR2002_06_10" xfId="124" xr:uid="{00000000-0005-0000-0000-000075000000}"/>
    <cellStyle name="_Outages_Feb04_DR2002_06_11" xfId="125" xr:uid="{00000000-0005-0000-0000-000076000000}"/>
    <cellStyle name="_Outages_Feb04_DR2002_06_12" xfId="126" xr:uid="{00000000-0005-0000-0000-000077000000}"/>
    <cellStyle name="_Outages_Feb04_DR2002_06_13" xfId="127" xr:uid="{00000000-0005-0000-0000-000078000000}"/>
    <cellStyle name="_Outages_Feb04_DR2002_06_14" xfId="128" xr:uid="{00000000-0005-0000-0000-000079000000}"/>
    <cellStyle name="_Outages_Feb04_DR2002_06_15" xfId="129" xr:uid="{00000000-0005-0000-0000-00007A000000}"/>
    <cellStyle name="_Outages_Feb04_DR2002_06_16" xfId="130" xr:uid="{00000000-0005-0000-0000-00007B000000}"/>
    <cellStyle name="_Outages_Feb04_DR2002_06_17" xfId="131" xr:uid="{00000000-0005-0000-0000-00007C000000}"/>
    <cellStyle name="_Outages_Feb04_DR2002_06_18" xfId="132" xr:uid="{00000000-0005-0000-0000-00007D000000}"/>
    <cellStyle name="_Outages_Feb04_DR2002_06_19" xfId="133" xr:uid="{00000000-0005-0000-0000-00007E000000}"/>
    <cellStyle name="_Outages_Feb04_DR2002_06_20" xfId="134" xr:uid="{00000000-0005-0000-0000-00007F000000}"/>
    <cellStyle name="_Outages_Feb04_DR2002_06_21" xfId="135" xr:uid="{00000000-0005-0000-0000-000080000000}"/>
    <cellStyle name="_Outages_Feb04_DR2002_06_22" xfId="136" xr:uid="{00000000-0005-0000-0000-000081000000}"/>
    <cellStyle name="_Outages_Feb04_DR2002_06_23" xfId="137" xr:uid="{00000000-0005-0000-0000-000082000000}"/>
    <cellStyle name="_Outages_Feb04_DR2002_06_24" xfId="138" xr:uid="{00000000-0005-0000-0000-000083000000}"/>
    <cellStyle name="_Outages_Feb04_DR2002_06_25" xfId="139" xr:uid="{00000000-0005-0000-0000-000084000000}"/>
    <cellStyle name="_Outages_Feb04_DR2002_06_26" xfId="140" xr:uid="{00000000-0005-0000-0000-000085000000}"/>
    <cellStyle name="_Outages_Feb04_DR2002_06_27" xfId="141" xr:uid="{00000000-0005-0000-0000-000086000000}"/>
    <cellStyle name="_Outages_Feb04_DR2002_06_28" xfId="142" xr:uid="{00000000-0005-0000-0000-000087000000}"/>
    <cellStyle name="_Outages_Feb04_DR2002_06_29" xfId="143" xr:uid="{00000000-0005-0000-0000-000088000000}"/>
    <cellStyle name="_Outages_Feb04_DR2002_06_30" xfId="144" xr:uid="{00000000-0005-0000-0000-000089000000}"/>
    <cellStyle name="_Outages_Feb04_DR2002_07_01" xfId="145" xr:uid="{00000000-0005-0000-0000-00008A000000}"/>
    <cellStyle name="_Outages_Feb04_DR2002_07_02" xfId="146" xr:uid="{00000000-0005-0000-0000-00008B000000}"/>
    <cellStyle name="_Outages_Feb04_DR2002_07_03" xfId="147" xr:uid="{00000000-0005-0000-0000-00008C000000}"/>
    <cellStyle name="_Outages_Feb04_DR2002_07_05" xfId="148" xr:uid="{00000000-0005-0000-0000-00008D000000}"/>
    <cellStyle name="_Outages_Feb04_ERIC_DR_01_08_02" xfId="149" xr:uid="{00000000-0005-0000-0000-00008E000000}"/>
    <cellStyle name="_Outages_Feb04_ERIC_DR_02_08_02" xfId="150" xr:uid="{00000000-0005-0000-0000-00008F000000}"/>
    <cellStyle name="_Outages_Feb04_ERIC_DR_03_08_02" xfId="151" xr:uid="{00000000-0005-0000-0000-000090000000}"/>
    <cellStyle name="_Outages_Feb04_ERIC_DR_04_08_02" xfId="152" xr:uid="{00000000-0005-0000-0000-000091000000}"/>
    <cellStyle name="_Outages_Feb04_ERIC_DR_05_08_02" xfId="153" xr:uid="{00000000-0005-0000-0000-000092000000}"/>
    <cellStyle name="_Outages_Feb04_ERIC_DR_06_07_02" xfId="154" xr:uid="{00000000-0005-0000-0000-000093000000}"/>
    <cellStyle name="_Outages_Feb04_ERIC_DR_06_08_02" xfId="155" xr:uid="{00000000-0005-0000-0000-000094000000}"/>
    <cellStyle name="_Outages_Feb04_ERIC_DR_07_07_02" xfId="156" xr:uid="{00000000-0005-0000-0000-000095000000}"/>
    <cellStyle name="_Outages_Feb04_ERIC_DR_08_07_02" xfId="157" xr:uid="{00000000-0005-0000-0000-000096000000}"/>
    <cellStyle name="_Outages_Feb04_ERIC_DR_08_08_02" xfId="158" xr:uid="{00000000-0005-0000-0000-000097000000}"/>
    <cellStyle name="_Outages_Feb04_ERIC_DR_09_07_02" xfId="159" xr:uid="{00000000-0005-0000-0000-000098000000}"/>
    <cellStyle name="_Outages_Feb04_ERIC_DR_10_07_02" xfId="160" xr:uid="{00000000-0005-0000-0000-000099000000}"/>
    <cellStyle name="_Outages_Feb04_ERIC_DR_11_07_02" xfId="161" xr:uid="{00000000-0005-0000-0000-00009A000000}"/>
    <cellStyle name="_Outages_Feb04_ERIC_DR_12_07_02" xfId="162" xr:uid="{00000000-0005-0000-0000-00009B000000}"/>
    <cellStyle name="_Outages_Feb04_ERIC_DR_13_07_02" xfId="163" xr:uid="{00000000-0005-0000-0000-00009C000000}"/>
    <cellStyle name="_Outages_Feb04_ERIC_DR_13_08_02" xfId="164" xr:uid="{00000000-0005-0000-0000-00009D000000}"/>
    <cellStyle name="_Outages_Feb04_ERIC_DR_14_07_02" xfId="165" xr:uid="{00000000-0005-0000-0000-00009E000000}"/>
    <cellStyle name="_Outages_Feb04_ERIC_DR_14_08_02" xfId="166" xr:uid="{00000000-0005-0000-0000-00009F000000}"/>
    <cellStyle name="_Outages_Feb04_ERIC_DR_15_07_02" xfId="167" xr:uid="{00000000-0005-0000-0000-0000A0000000}"/>
    <cellStyle name="_Outages_Feb04_ERIC_DR_15_08_02" xfId="168" xr:uid="{00000000-0005-0000-0000-0000A1000000}"/>
    <cellStyle name="_Outages_Feb04_ERIC_DR_16_07_02" xfId="169" xr:uid="{00000000-0005-0000-0000-0000A2000000}"/>
    <cellStyle name="_Outages_Feb04_ERIC_DR_16_08_02" xfId="170" xr:uid="{00000000-0005-0000-0000-0000A3000000}"/>
    <cellStyle name="_Outages_Feb04_ERIC_DR_17_07_02" xfId="171" xr:uid="{00000000-0005-0000-0000-0000A4000000}"/>
    <cellStyle name="_Outages_Feb04_ERIC_DR_17_08_02" xfId="172" xr:uid="{00000000-0005-0000-0000-0000A5000000}"/>
    <cellStyle name="_Outages_Feb04_ERIC_DR_18_07_02" xfId="173" xr:uid="{00000000-0005-0000-0000-0000A6000000}"/>
    <cellStyle name="_Outages_Feb04_ERIC_DR_18_08_02" xfId="174" xr:uid="{00000000-0005-0000-0000-0000A7000000}"/>
    <cellStyle name="_Outages_Feb04_ERIC_DR_19_07_02" xfId="175" xr:uid="{00000000-0005-0000-0000-0000A8000000}"/>
    <cellStyle name="_Outages_Feb04_ERIC_DR_19_08_02" xfId="176" xr:uid="{00000000-0005-0000-0000-0000A9000000}"/>
    <cellStyle name="_Outages_Feb04_ERIC_DR_20_07_02" xfId="177" xr:uid="{00000000-0005-0000-0000-0000AA000000}"/>
    <cellStyle name="_Outages_Feb04_ERIC_DR_21_07_02" xfId="178" xr:uid="{00000000-0005-0000-0000-0000AB000000}"/>
    <cellStyle name="_Outages_Feb04_ERIC_DR_22_07_02" xfId="179" xr:uid="{00000000-0005-0000-0000-0000AC000000}"/>
    <cellStyle name="_Outages_Feb04_ERIC_DR_23_07_02" xfId="180" xr:uid="{00000000-0005-0000-0000-0000AD000000}"/>
    <cellStyle name="_Outages_Feb04_ERIC_DR_24_07_02" xfId="181" xr:uid="{00000000-0005-0000-0000-0000AE000000}"/>
    <cellStyle name="_Outages_Feb04_ERIC_DR_25_07_02" xfId="182" xr:uid="{00000000-0005-0000-0000-0000AF000000}"/>
    <cellStyle name="_Outages_Feb04_ERIC_DR_26_07_02" xfId="183" xr:uid="{00000000-0005-0000-0000-0000B0000000}"/>
    <cellStyle name="_Outages_Feb04_ERIC_DR_27_07_02" xfId="184" xr:uid="{00000000-0005-0000-0000-0000B1000000}"/>
    <cellStyle name="_Outages_Feb04_ERIC_DR_28_07_02" xfId="185" xr:uid="{00000000-0005-0000-0000-0000B2000000}"/>
    <cellStyle name="_Outages_Feb04_ERIC_DR_28_09_02" xfId="186" xr:uid="{00000000-0005-0000-0000-0000B3000000}"/>
    <cellStyle name="_Outages_Feb04_ERIC_DR_29_07_02" xfId="187" xr:uid="{00000000-0005-0000-0000-0000B4000000}"/>
    <cellStyle name="_Outages_Feb04_ERIC_DR_29_09_02" xfId="188" xr:uid="{00000000-0005-0000-0000-0000B5000000}"/>
    <cellStyle name="_Outages_Feb04_ERIC_DR_30_07_02" xfId="189" xr:uid="{00000000-0005-0000-0000-0000B6000000}"/>
    <cellStyle name="_Outages_Feb04_ERIC_DR_31_07_02" xfId="190" xr:uid="{00000000-0005-0000-0000-0000B7000000}"/>
    <cellStyle name="_Outages_Feb04_ERIC_DR_9_08_02" xfId="191" xr:uid="{00000000-0005-0000-0000-0000B8000000}"/>
    <cellStyle name="_Outages_Feb04_ERICSSON_DR_04_07_02" xfId="192" xr:uid="{00000000-0005-0000-0000-0000B9000000}"/>
    <cellStyle name="_Outages_Feb04_Ericsson_DR_0420" xfId="193" xr:uid="{00000000-0005-0000-0000-0000BA000000}"/>
    <cellStyle name="_Outages_Feb04_Ericsson_DR_0421" xfId="194" xr:uid="{00000000-0005-0000-0000-0000BB000000}"/>
    <cellStyle name="_Outages_Feb04_Ericsson_DR_0422" xfId="195" xr:uid="{00000000-0005-0000-0000-0000BC000000}"/>
    <cellStyle name="_Outages_Feb04_Ericsson_DR_0423" xfId="196" xr:uid="{00000000-0005-0000-0000-0000BD000000}"/>
    <cellStyle name="_Outages_Feb04_Ericsson_DR_0424" xfId="197" xr:uid="{00000000-0005-0000-0000-0000BE000000}"/>
    <cellStyle name="_Outages_Feb04_Ericsson_DR_0425" xfId="198" xr:uid="{00000000-0005-0000-0000-0000BF000000}"/>
    <cellStyle name="_Outages_Feb04_Ericsson_DR_0426" xfId="199" xr:uid="{00000000-0005-0000-0000-0000C0000000}"/>
    <cellStyle name="_Outages_Feb04_Ericsson_DR_0427" xfId="200" xr:uid="{00000000-0005-0000-0000-0000C1000000}"/>
    <cellStyle name="_Outages_Feb04_Ericsson_DR_0428" xfId="201" xr:uid="{00000000-0005-0000-0000-0000C2000000}"/>
    <cellStyle name="_Outages_Feb04_Ericsson_DR_0429" xfId="202" xr:uid="{00000000-0005-0000-0000-0000C3000000}"/>
    <cellStyle name="_Outages_Feb04_Ericsson_DR_0430" xfId="203" xr:uid="{00000000-0005-0000-0000-0000C4000000}"/>
    <cellStyle name="_Outages_Feb04_Ericsson_DR_0501" xfId="204" xr:uid="{00000000-0005-0000-0000-0000C5000000}"/>
    <cellStyle name="_Outages_Feb04_Ericsson_DR_0502" xfId="205" xr:uid="{00000000-0005-0000-0000-0000C6000000}"/>
    <cellStyle name="_Outages_Feb04_Ericsson_DR_0503" xfId="206" xr:uid="{00000000-0005-0000-0000-0000C7000000}"/>
    <cellStyle name="_Outages_Feb04_Ericsson_DR_0504" xfId="207" xr:uid="{00000000-0005-0000-0000-0000C8000000}"/>
    <cellStyle name="_Outages_Feb04_Ericsson_DR_0505" xfId="208" xr:uid="{00000000-0005-0000-0000-0000C9000000}"/>
    <cellStyle name="_Outages_Feb04_Ericsson_DR_0506" xfId="209" xr:uid="{00000000-0005-0000-0000-0000CA000000}"/>
    <cellStyle name="_Outages_Feb04_Ericsson_DR_0507" xfId="210" xr:uid="{00000000-0005-0000-0000-0000CB000000}"/>
    <cellStyle name="_Outages_Feb04_Ericsson_DR_0508" xfId="211" xr:uid="{00000000-0005-0000-0000-0000CC000000}"/>
    <cellStyle name="_Outages_Feb04_Ericsson_DR_0511" xfId="212" xr:uid="{00000000-0005-0000-0000-0000CD000000}"/>
    <cellStyle name="_Outages_Feb04_Ericsson_DR_0512" xfId="213" xr:uid="{00000000-0005-0000-0000-0000CE000000}"/>
    <cellStyle name="_Outages_Feb04_Ericsson_DR_0513" xfId="214" xr:uid="{00000000-0005-0000-0000-0000CF000000}"/>
    <cellStyle name="_Outages_Feb04_Ericsson_DR_0514" xfId="215" xr:uid="{00000000-0005-0000-0000-0000D0000000}"/>
    <cellStyle name="_Outages_Feb04_Ericsson_DR_0515" xfId="216" xr:uid="{00000000-0005-0000-0000-0000D1000000}"/>
    <cellStyle name="_Outages_Feb04_Ericsson_DR_0518" xfId="217" xr:uid="{00000000-0005-0000-0000-0000D2000000}"/>
    <cellStyle name="_Outages_Feb04_Ericsson_DR_0519" xfId="218" xr:uid="{00000000-0005-0000-0000-0000D3000000}"/>
    <cellStyle name="_Outages_Feb04_Ericsson_DR_0520" xfId="219" xr:uid="{00000000-0005-0000-0000-0000D4000000}"/>
    <cellStyle name="_Outages_Feb04_Ericsson_DR_0521" xfId="220" xr:uid="{00000000-0005-0000-0000-0000D5000000}"/>
    <cellStyle name="_Outages_Feb04_Ericsson_DR_0522" xfId="221" xr:uid="{00000000-0005-0000-0000-0000D6000000}"/>
    <cellStyle name="_Outages_Feb04_Ericsson_DR_0523" xfId="222" xr:uid="{00000000-0005-0000-0000-0000D7000000}"/>
    <cellStyle name="_Outages_Feb04_Ericsson_DR_0524" xfId="223" xr:uid="{00000000-0005-0000-0000-0000D8000000}"/>
    <cellStyle name="_Outages_Feb04_Ericsson_DR_0525" xfId="224" xr:uid="{00000000-0005-0000-0000-0000D9000000}"/>
    <cellStyle name="_Outages_Feb04_Ericsson_DR_0526" xfId="225" xr:uid="{00000000-0005-0000-0000-0000DA000000}"/>
    <cellStyle name="_Outages_Feb04_Ericsson_DR_0527" xfId="226" xr:uid="{00000000-0005-0000-0000-0000DB000000}"/>
    <cellStyle name="_Outages_Feb04_Ericsson_DR_0528" xfId="227" xr:uid="{00000000-0005-0000-0000-0000DC000000}"/>
    <cellStyle name="_Outages_Feb04_Ericsson_DR_0529" xfId="228" xr:uid="{00000000-0005-0000-0000-0000DD000000}"/>
    <cellStyle name="_Outages_Feb04_Ericsson_DR_0530" xfId="229" xr:uid="{00000000-0005-0000-0000-0000DE000000}"/>
    <cellStyle name="_Outages_Feb04_Ericsson_DR_0531" xfId="230" xr:uid="{00000000-0005-0000-0000-0000DF000000}"/>
    <cellStyle name="_Outages_Feb04_Ericsson_DR_0601" xfId="231" xr:uid="{00000000-0005-0000-0000-0000E0000000}"/>
    <cellStyle name="_Outages_Feb04_Ericsson_DR_0602" xfId="232" xr:uid="{00000000-0005-0000-0000-0000E1000000}"/>
    <cellStyle name="_Outages_Feb04_Ericsson_DR_0604" xfId="233" xr:uid="{00000000-0005-0000-0000-0000E2000000}"/>
    <cellStyle name="_Outages_Feb04_Ericsson_DR_0605" xfId="234" xr:uid="{00000000-0005-0000-0000-0000E3000000}"/>
    <cellStyle name="_Outages_Feb04_Ericsson_DR_0606" xfId="235" xr:uid="{00000000-0005-0000-0000-0000E4000000}"/>
    <cellStyle name="_Outages_Feb04_Ericsson_DR_0607" xfId="236" xr:uid="{00000000-0005-0000-0000-0000E5000000}"/>
    <cellStyle name="_Outages_Feb04_Ericsson_DR_0608" xfId="237" xr:uid="{00000000-0005-0000-0000-0000E6000000}"/>
    <cellStyle name="_Outages_Feb04_Ericsson_DR_0609" xfId="238" xr:uid="{00000000-0005-0000-0000-0000E7000000}"/>
    <cellStyle name="_Outages_Feb04_Ericsson_DR_0610" xfId="239" xr:uid="{00000000-0005-0000-0000-0000E8000000}"/>
    <cellStyle name="_Outages_Feb04_Ericsson_DR_0611" xfId="240" xr:uid="{00000000-0005-0000-0000-0000E9000000}"/>
    <cellStyle name="_Outages_Feb04_Ericsson_DR_0612" xfId="241" xr:uid="{00000000-0005-0000-0000-0000EA000000}"/>
    <cellStyle name="_Outages_Feb04_Ericsson_DR_0613" xfId="242" xr:uid="{00000000-0005-0000-0000-0000EB000000}"/>
    <cellStyle name="_Outages_Feb04_Ericsson_DR_0614" xfId="243" xr:uid="{00000000-0005-0000-0000-0000EC000000}"/>
    <cellStyle name="_Outages_Feb04_Ericsson_DR_0615" xfId="244" xr:uid="{00000000-0005-0000-0000-0000ED000000}"/>
    <cellStyle name="_Outages_Feb04_Ericsson_DR_0616" xfId="245" xr:uid="{00000000-0005-0000-0000-0000EE000000}"/>
    <cellStyle name="_Outages_Feb04_Ericsson_DR_0617" xfId="246" xr:uid="{00000000-0005-0000-0000-0000EF000000}"/>
    <cellStyle name="_Outages_Feb04_Ericsson_DR_0618" xfId="247" xr:uid="{00000000-0005-0000-0000-0000F0000000}"/>
    <cellStyle name="_Outages_Feb04_Ericsson_DR_0619" xfId="248" xr:uid="{00000000-0005-0000-0000-0000F1000000}"/>
    <cellStyle name="_Outages_Feb04_Ericsson_DR_0620" xfId="249" xr:uid="{00000000-0005-0000-0000-0000F2000000}"/>
    <cellStyle name="_Outages_Feb04_Ericsson_DR_0621" xfId="250" xr:uid="{00000000-0005-0000-0000-0000F3000000}"/>
    <cellStyle name="_Outages_Feb04_Ericsson_DR_0622" xfId="251" xr:uid="{00000000-0005-0000-0000-0000F4000000}"/>
    <cellStyle name="_Outages_Feb04_Ericsson_DR_0623" xfId="252" xr:uid="{00000000-0005-0000-0000-0000F5000000}"/>
    <cellStyle name="_Outages_Feb04_Ericsson_DR_0624" xfId="253" xr:uid="{00000000-0005-0000-0000-0000F6000000}"/>
    <cellStyle name="_Outages_Feb04_Ericsson_DR_0625" xfId="254" xr:uid="{00000000-0005-0000-0000-0000F7000000}"/>
    <cellStyle name="_Outages_Feb04_Ericsson_DR_0626" xfId="255" xr:uid="{00000000-0005-0000-0000-0000F8000000}"/>
    <cellStyle name="_Outages_Feb04_Ericsson_DR_0627" xfId="256" xr:uid="{00000000-0005-0000-0000-0000F9000000}"/>
    <cellStyle name="_Outages_Feb04_Ericsson_DR_0628" xfId="257" xr:uid="{00000000-0005-0000-0000-0000FA000000}"/>
    <cellStyle name="_Outages_Feb04_Ericsson_DR_0629" xfId="258" xr:uid="{00000000-0005-0000-0000-0000FB000000}"/>
    <cellStyle name="_Outages_Feb04_Ericsson_DR_0630" xfId="259" xr:uid="{00000000-0005-0000-0000-0000FC000000}"/>
    <cellStyle name="_Outages_Feb04_Ericsson_DR_0701" xfId="260" xr:uid="{00000000-0005-0000-0000-0000FD000000}"/>
    <cellStyle name="_Outages_Feb04_Ericsson_DR_0702" xfId="261" xr:uid="{00000000-0005-0000-0000-0000FE000000}"/>
    <cellStyle name="_Outages_Feb04_Ericsson_DR_0703" xfId="262" xr:uid="{00000000-0005-0000-0000-0000FF000000}"/>
    <cellStyle name="_Outages_Feb04_Ericsson_DR_0704" xfId="263" xr:uid="{00000000-0005-0000-0000-000000010000}"/>
    <cellStyle name="_Outages_Feb04_Ericsson_DR_0705" xfId="264" xr:uid="{00000000-0005-0000-0000-000001010000}"/>
    <cellStyle name="_Outages_Feb04_Ericsson_DR_0706" xfId="265" xr:uid="{00000000-0005-0000-0000-000002010000}"/>
    <cellStyle name="_Outages_Feb04_Ericsson_DR_0707" xfId="266" xr:uid="{00000000-0005-0000-0000-000003010000}"/>
    <cellStyle name="_Outages_Feb04_Ericsson_DR_0708" xfId="267" xr:uid="{00000000-0005-0000-0000-000004010000}"/>
    <cellStyle name="_Outages_Feb04_Ericsson_DR_0709" xfId="268" xr:uid="{00000000-0005-0000-0000-000005010000}"/>
    <cellStyle name="_Outages_Feb04_Ericsson_DR_0710" xfId="269" xr:uid="{00000000-0005-0000-0000-000006010000}"/>
    <cellStyle name="_Outages_Feb04_Ericsson_DR_0711" xfId="270" xr:uid="{00000000-0005-0000-0000-000007010000}"/>
    <cellStyle name="_Outages_Feb04_Ericsson_DR_0712" xfId="271" xr:uid="{00000000-0005-0000-0000-000008010000}"/>
    <cellStyle name="_Outages_Feb04_Ericsson_DR_0713" xfId="272" xr:uid="{00000000-0005-0000-0000-000009010000}"/>
    <cellStyle name="_Outages_Feb04_Ericsson_DR_0714" xfId="273" xr:uid="{00000000-0005-0000-0000-00000A010000}"/>
    <cellStyle name="_Outages_Feb04_Ericsson_DR_0715" xfId="274" xr:uid="{00000000-0005-0000-0000-00000B010000}"/>
    <cellStyle name="_Outages_Feb04_Ericsson_DR_0716" xfId="275" xr:uid="{00000000-0005-0000-0000-00000C010000}"/>
    <cellStyle name="_Outages_Feb04_Ericsson_DR_0717" xfId="276" xr:uid="{00000000-0005-0000-0000-00000D010000}"/>
    <cellStyle name="_Outages_Feb04_Ericsson_DR_0718" xfId="277" xr:uid="{00000000-0005-0000-0000-00000E010000}"/>
    <cellStyle name="_Outages_Feb04_Ericsson_DR_0719" xfId="278" xr:uid="{00000000-0005-0000-0000-00000F010000}"/>
    <cellStyle name="_Outages_Feb04_Ericsson_DR_0720" xfId="279" xr:uid="{00000000-0005-0000-0000-000010010000}"/>
    <cellStyle name="_Outages_Feb04_Ericsson_DR_0721" xfId="280" xr:uid="{00000000-0005-0000-0000-000011010000}"/>
    <cellStyle name="_Outages_Feb04_Ericsson_DR_0722" xfId="281" xr:uid="{00000000-0005-0000-0000-000012010000}"/>
    <cellStyle name="_Outages_Feb04_Ericsson_DR_0723" xfId="282" xr:uid="{00000000-0005-0000-0000-000013010000}"/>
    <cellStyle name="_Outages_Feb04_Ericsson_DR_0724" xfId="283" xr:uid="{00000000-0005-0000-0000-000014010000}"/>
    <cellStyle name="_Outages_Feb04_Ericsson_DR_0725" xfId="284" xr:uid="{00000000-0005-0000-0000-000015010000}"/>
    <cellStyle name="_Outages_Feb04_Ericsson_DR_0726" xfId="285" xr:uid="{00000000-0005-0000-0000-000016010000}"/>
    <cellStyle name="_Outages_Feb04_Ericsson_DR_0727" xfId="286" xr:uid="{00000000-0005-0000-0000-000017010000}"/>
    <cellStyle name="_Outages_Feb04_Ericsson_DR_0728" xfId="287" xr:uid="{00000000-0005-0000-0000-000018010000}"/>
    <cellStyle name="_Outages_Feb04_Ericsson_DR_0729" xfId="288" xr:uid="{00000000-0005-0000-0000-000019010000}"/>
    <cellStyle name="_Outages_Feb04_Ericsson_DR_0730" xfId="289" xr:uid="{00000000-0005-0000-0000-00001A010000}"/>
    <cellStyle name="_Outages_Feb04_Ericsson_DR_0731" xfId="290" xr:uid="{00000000-0005-0000-0000-00001B010000}"/>
    <cellStyle name="_Outages_Feb04_Ericsson_DR_0801" xfId="291" xr:uid="{00000000-0005-0000-0000-00001C010000}"/>
    <cellStyle name="_Outages_Feb04_Ericsson_DR_0802" xfId="292" xr:uid="{00000000-0005-0000-0000-00001D010000}"/>
    <cellStyle name="_Outages_Feb04_Ericsson_DR_0803" xfId="293" xr:uid="{00000000-0005-0000-0000-00001E010000}"/>
    <cellStyle name="_Outages_Feb04_Ericsson_DR_0804" xfId="294" xr:uid="{00000000-0005-0000-0000-00001F010000}"/>
    <cellStyle name="_Outages_Feb04_Ericsson_DR_0805" xfId="295" xr:uid="{00000000-0005-0000-0000-000020010000}"/>
    <cellStyle name="_Outages_Feb04_Ericsson_DR_0806" xfId="296" xr:uid="{00000000-0005-0000-0000-000021010000}"/>
    <cellStyle name="_Outages_Feb04_Ericsson_DR_0808" xfId="297" xr:uid="{00000000-0005-0000-0000-000022010000}"/>
    <cellStyle name="_Outages_Feb04_Ericsson_DR_0809" xfId="298" xr:uid="{00000000-0005-0000-0000-000023010000}"/>
    <cellStyle name="_Outages_Feb04_Ericsson_DR_0813" xfId="299" xr:uid="{00000000-0005-0000-0000-000024010000}"/>
    <cellStyle name="_Outages_Feb04_Ericsson_DR_0814" xfId="300" xr:uid="{00000000-0005-0000-0000-000025010000}"/>
    <cellStyle name="_Outages_Feb04_Ericsson_DR_0815" xfId="301" xr:uid="{00000000-0005-0000-0000-000026010000}"/>
    <cellStyle name="_Outages_Feb04_Ericsson_DR_0816" xfId="302" xr:uid="{00000000-0005-0000-0000-000027010000}"/>
    <cellStyle name="_Outages_Feb04_Ericsson_DR_0817" xfId="303" xr:uid="{00000000-0005-0000-0000-000028010000}"/>
    <cellStyle name="_Outages_Feb04_Ericsson_DR_0818" xfId="304" xr:uid="{00000000-0005-0000-0000-000029010000}"/>
    <cellStyle name="_Outages_Feb04_Ericsson_DR_0819" xfId="305" xr:uid="{00000000-0005-0000-0000-00002A010000}"/>
    <cellStyle name="_Outages_Feb04_Exec Sum_0619" xfId="306" xr:uid="{00000000-0005-0000-0000-00002B010000}"/>
    <cellStyle name="_Outages_Feb04_Exec Sum_0620" xfId="307" xr:uid="{00000000-0005-0000-0000-00002C010000}"/>
    <cellStyle name="_Outages_Feb04_Exec Sum_0621" xfId="308" xr:uid="{00000000-0005-0000-0000-00002D010000}"/>
    <cellStyle name="_Outages_Feb04_Exec Sum_0622" xfId="309" xr:uid="{00000000-0005-0000-0000-00002E010000}"/>
    <cellStyle name="_Outages_Feb04_Exec Sum_0623" xfId="310" xr:uid="{00000000-0005-0000-0000-00002F010000}"/>
    <cellStyle name="_Outages_Feb04_Exec Sum_0624" xfId="311" xr:uid="{00000000-0005-0000-0000-000030010000}"/>
    <cellStyle name="_Outages_Feb04_Exec Sum_0625" xfId="312" xr:uid="{00000000-0005-0000-0000-000031010000}"/>
    <cellStyle name="_Outages_Feb04_Exec Sum_0626" xfId="313" xr:uid="{00000000-0005-0000-0000-000032010000}"/>
    <cellStyle name="_Outages_Feb04_Exec Sum_0627" xfId="314" xr:uid="{00000000-0005-0000-0000-000033010000}"/>
    <cellStyle name="_Outages_Feb04_Exec Sum_0628" xfId="315" xr:uid="{00000000-0005-0000-0000-000034010000}"/>
    <cellStyle name="_Outages_Feb04_Exec Sum_0629" xfId="316" xr:uid="{00000000-0005-0000-0000-000035010000}"/>
    <cellStyle name="_Outages_Feb04_Exec Sum_0630" xfId="317" xr:uid="{00000000-0005-0000-0000-000036010000}"/>
    <cellStyle name="_Outages_Feb04_Exec Sum_0701" xfId="318" xr:uid="{00000000-0005-0000-0000-000037010000}"/>
    <cellStyle name="_Outages_Feb04_Exec Sum_0702" xfId="319" xr:uid="{00000000-0005-0000-0000-000038010000}"/>
    <cellStyle name="_Outages_Feb04_Exec Sum_0703" xfId="320" xr:uid="{00000000-0005-0000-0000-000039010000}"/>
    <cellStyle name="_Outages_Feb04_Exec Sum_0704" xfId="321" xr:uid="{00000000-0005-0000-0000-00003A010000}"/>
    <cellStyle name="_Outages_Feb04_Exec Sum_0705" xfId="322" xr:uid="{00000000-0005-0000-0000-00003B010000}"/>
    <cellStyle name="_Outages_Feb04_Exec Sum_0706" xfId="323" xr:uid="{00000000-0005-0000-0000-00003C010000}"/>
    <cellStyle name="_Outages_Feb04_Exec Sum_0707" xfId="324" xr:uid="{00000000-0005-0000-0000-00003D010000}"/>
    <cellStyle name="_Outages_Feb04_Exec Sum_0708" xfId="325" xr:uid="{00000000-0005-0000-0000-00003E010000}"/>
    <cellStyle name="_Outages_Feb04_Exec Sum_0709" xfId="326" xr:uid="{00000000-0005-0000-0000-00003F010000}"/>
    <cellStyle name="_Outages_Feb04_Exec Sum_0710a" xfId="327" xr:uid="{00000000-0005-0000-0000-000040010000}"/>
    <cellStyle name="_Outages_Feb04_Exec Sum_0711" xfId="328" xr:uid="{00000000-0005-0000-0000-000041010000}"/>
    <cellStyle name="_Outages_Feb04_Exec Sum_0712" xfId="329" xr:uid="{00000000-0005-0000-0000-000042010000}"/>
    <cellStyle name="_Outages_Feb04_Exec Sum_0713" xfId="330" xr:uid="{00000000-0005-0000-0000-000043010000}"/>
    <cellStyle name="_Outages_Feb04_Exec Sum_0714" xfId="331" xr:uid="{00000000-0005-0000-0000-000044010000}"/>
    <cellStyle name="_Outages_Feb04_Exec Sum_0715" xfId="332" xr:uid="{00000000-0005-0000-0000-000045010000}"/>
    <cellStyle name="_Outages_Feb04_Exec Sum_0716" xfId="333" xr:uid="{00000000-0005-0000-0000-000046010000}"/>
    <cellStyle name="_Outages_Feb04_Exec Sum_0717" xfId="334" xr:uid="{00000000-0005-0000-0000-000047010000}"/>
    <cellStyle name="_Outages_Feb04_Exec Sum_0718" xfId="335" xr:uid="{00000000-0005-0000-0000-000048010000}"/>
    <cellStyle name="_Outages_Feb04_Exec Sum_0719" xfId="336" xr:uid="{00000000-0005-0000-0000-000049010000}"/>
    <cellStyle name="_Outages_Feb04_Exec Sum_0720" xfId="337" xr:uid="{00000000-0005-0000-0000-00004A010000}"/>
    <cellStyle name="_Outages_Feb04_Exec Sum_0721" xfId="338" xr:uid="{00000000-0005-0000-0000-00004B010000}"/>
    <cellStyle name="_Outages_Feb04_Exec Sum_0722" xfId="339" xr:uid="{00000000-0005-0000-0000-00004C010000}"/>
    <cellStyle name="_Outages_Feb04_Exec Sum_0723" xfId="340" xr:uid="{00000000-0005-0000-0000-00004D010000}"/>
    <cellStyle name="_Outages_Feb04_Exec Sum_0724" xfId="341" xr:uid="{00000000-0005-0000-0000-00004E010000}"/>
    <cellStyle name="_Outages_Feb04_Exec Sum_0725" xfId="342" xr:uid="{00000000-0005-0000-0000-00004F010000}"/>
    <cellStyle name="_Outages_Feb04_Exec Sum_0726" xfId="343" xr:uid="{00000000-0005-0000-0000-000050010000}"/>
    <cellStyle name="_Outages_Feb04_Exec Sum_0727" xfId="344" xr:uid="{00000000-0005-0000-0000-000051010000}"/>
    <cellStyle name="_Outages_Feb04_Exec Sum_0728" xfId="345" xr:uid="{00000000-0005-0000-0000-000052010000}"/>
    <cellStyle name="_Outages_Feb04_Exec Sum_0729" xfId="346" xr:uid="{00000000-0005-0000-0000-000053010000}"/>
    <cellStyle name="_Outages_Feb04_Exec Sum_0730" xfId="347" xr:uid="{00000000-0005-0000-0000-000054010000}"/>
    <cellStyle name="_Outages_Feb04_Exec Sum_0731" xfId="348" xr:uid="{00000000-0005-0000-0000-000055010000}"/>
    <cellStyle name="_Outages_Feb04_Exec Sum_0801" xfId="349" xr:uid="{00000000-0005-0000-0000-000056010000}"/>
    <cellStyle name="_Outages_Feb04_Exec Sum_0802" xfId="350" xr:uid="{00000000-0005-0000-0000-000057010000}"/>
    <cellStyle name="_Outages_Feb04_Exec Sum_0803" xfId="351" xr:uid="{00000000-0005-0000-0000-000058010000}"/>
    <cellStyle name="_Outages_Feb04_Exec Sum_0804" xfId="352" xr:uid="{00000000-0005-0000-0000-000059010000}"/>
    <cellStyle name="_Outages_Feb04_Exec Sum_0805" xfId="353" xr:uid="{00000000-0005-0000-0000-00005A010000}"/>
    <cellStyle name="_Outages_Feb04_Exec Sum_0806" xfId="354" xr:uid="{00000000-0005-0000-0000-00005B010000}"/>
    <cellStyle name="_Outages_Feb04_Exec Sum_0808" xfId="355" xr:uid="{00000000-0005-0000-0000-00005C010000}"/>
    <cellStyle name="_Outages_Feb04_Exec Sum_0809" xfId="356" xr:uid="{00000000-0005-0000-0000-00005D010000}"/>
    <cellStyle name="_Outages_Feb04_Exec Sum_0813" xfId="357" xr:uid="{00000000-0005-0000-0000-00005E010000}"/>
    <cellStyle name="_Outages_Feb04_Exec Sum_0814" xfId="358" xr:uid="{00000000-0005-0000-0000-00005F010000}"/>
    <cellStyle name="_Outages_Feb04_Exec Sum_0815" xfId="359" xr:uid="{00000000-0005-0000-0000-000060010000}"/>
    <cellStyle name="_Outages_Feb04_Exec Sum_0816" xfId="360" xr:uid="{00000000-0005-0000-0000-000061010000}"/>
    <cellStyle name="_Outages_Feb04_Exec Sum_0817" xfId="361" xr:uid="{00000000-0005-0000-0000-000062010000}"/>
    <cellStyle name="_Outages_Feb04_Exec Sum_0818" xfId="362" xr:uid="{00000000-0005-0000-0000-000063010000}"/>
    <cellStyle name="_Outages_Feb04_Exec Sum_0819" xfId="363" xr:uid="{00000000-0005-0000-0000-000064010000}"/>
    <cellStyle name="_Outages_Feb04_Exec Sum_Tplate_0520" xfId="364" xr:uid="{00000000-0005-0000-0000-000065010000}"/>
    <cellStyle name="_Outages_Feb04_Exec-Sum_0505" xfId="365" xr:uid="{00000000-0005-0000-0000-000066010000}"/>
    <cellStyle name="_Outages_Feb04_Exec-Sum_0506" xfId="366" xr:uid="{00000000-0005-0000-0000-000067010000}"/>
    <cellStyle name="_Outages_Feb04_Exec-Sum_0507" xfId="367" xr:uid="{00000000-0005-0000-0000-000068010000}"/>
    <cellStyle name="_Outages_Feb04_Exec-Sum_0508" xfId="368" xr:uid="{00000000-0005-0000-0000-000069010000}"/>
    <cellStyle name="_Outages_Feb04_Exec-Sum_0511" xfId="369" xr:uid="{00000000-0005-0000-0000-00006A010000}"/>
    <cellStyle name="_Outages_Feb04_Exec-Sum_0512" xfId="370" xr:uid="{00000000-0005-0000-0000-00006B010000}"/>
    <cellStyle name="_Outages_Feb04_Exec-Sum_0513" xfId="371" xr:uid="{00000000-0005-0000-0000-00006C010000}"/>
    <cellStyle name="_Outages_Feb04_Exec-Sum_0514" xfId="372" xr:uid="{00000000-0005-0000-0000-00006D010000}"/>
    <cellStyle name="_Outages_Feb04_Exec-Sum_0515" xfId="373" xr:uid="{00000000-0005-0000-0000-00006E010000}"/>
    <cellStyle name="_Outages_Feb04_Exec-Sum_0518" xfId="374" xr:uid="{00000000-0005-0000-0000-00006F010000}"/>
    <cellStyle name="_Outages_Feb04_Exec-Sum_0519" xfId="375" xr:uid="{00000000-0005-0000-0000-000070010000}"/>
    <cellStyle name="_Outages_Feb04_Exec-Sum_0521" xfId="376" xr:uid="{00000000-0005-0000-0000-000071010000}"/>
    <cellStyle name="_Outages_Feb04_Exec-Sum_0523" xfId="377" xr:uid="{00000000-0005-0000-0000-000072010000}"/>
    <cellStyle name="_Outages_Feb04_Exec-Sum_0524" xfId="378" xr:uid="{00000000-0005-0000-0000-000073010000}"/>
    <cellStyle name="_Outages_Feb04_Exec-Sum_0525" xfId="379" xr:uid="{00000000-0005-0000-0000-000074010000}"/>
    <cellStyle name="_Outages_Feb04_Exec-Sum_0526" xfId="380" xr:uid="{00000000-0005-0000-0000-000075010000}"/>
    <cellStyle name="_Outages_Feb04_Exec-Sum_0527" xfId="381" xr:uid="{00000000-0005-0000-0000-000076010000}"/>
    <cellStyle name="_Outages_Feb04_Exec-Sum_0528" xfId="382" xr:uid="{00000000-0005-0000-0000-000077010000}"/>
    <cellStyle name="_Outages_Feb04_Exec-Sum_0529" xfId="383" xr:uid="{00000000-0005-0000-0000-000078010000}"/>
    <cellStyle name="_Outages_Feb04_Exec-Sum_0530" xfId="384" xr:uid="{00000000-0005-0000-0000-000079010000}"/>
    <cellStyle name="_Outages_Feb04_Exec-Sum_0531" xfId="385" xr:uid="{00000000-0005-0000-0000-00007A010000}"/>
    <cellStyle name="_Outages_Feb04_Exec-Sum_0601" xfId="386" xr:uid="{00000000-0005-0000-0000-00007B010000}"/>
    <cellStyle name="_Outages_Feb04_Exec-Sum_0602" xfId="387" xr:uid="{00000000-0005-0000-0000-00007C010000}"/>
    <cellStyle name="_Outages_Feb04_Exec-Sum_0604" xfId="388" xr:uid="{00000000-0005-0000-0000-00007D010000}"/>
    <cellStyle name="_Outages_Feb04_Exec-Sum_0605" xfId="389" xr:uid="{00000000-0005-0000-0000-00007E010000}"/>
    <cellStyle name="_Outages_Feb04_Exec-Sum_0606" xfId="390" xr:uid="{00000000-0005-0000-0000-00007F010000}"/>
    <cellStyle name="_Outages_Feb04_Exec-Sum_0607" xfId="391" xr:uid="{00000000-0005-0000-0000-000080010000}"/>
    <cellStyle name="_Outages_Feb04_Exec-Sum_0608" xfId="392" xr:uid="{00000000-0005-0000-0000-000081010000}"/>
    <cellStyle name="_Outages_Feb04_Exec-Sum_0609" xfId="393" xr:uid="{00000000-0005-0000-0000-000082010000}"/>
    <cellStyle name="_Outages_Feb04_Exec-Sum_0610" xfId="394" xr:uid="{00000000-0005-0000-0000-000083010000}"/>
    <cellStyle name="_Outages_Feb04_Exec-Sum_0611" xfId="395" xr:uid="{00000000-0005-0000-0000-000084010000}"/>
    <cellStyle name="_Outages_Feb04_Exec-Sum_0612" xfId="396" xr:uid="{00000000-0005-0000-0000-000085010000}"/>
    <cellStyle name="_Outages_Feb04_Exec-Sum_0613" xfId="397" xr:uid="{00000000-0005-0000-0000-000086010000}"/>
    <cellStyle name="_Outages_Feb04_Exec-Sum_0614" xfId="398" xr:uid="{00000000-0005-0000-0000-000087010000}"/>
    <cellStyle name="_Outages_Feb04_Exec-Sum_0615" xfId="399" xr:uid="{00000000-0005-0000-0000-000088010000}"/>
    <cellStyle name="_Outages_Feb04_Exec-Sum_0616" xfId="400" xr:uid="{00000000-0005-0000-0000-000089010000}"/>
    <cellStyle name="_Outages_Feb04_Exec-Sum_0617" xfId="401" xr:uid="{00000000-0005-0000-0000-00008A010000}"/>
    <cellStyle name="_Outages_Feb04_Exec-Sum_0618" xfId="402" xr:uid="{00000000-0005-0000-0000-00008B010000}"/>
    <cellStyle name="_Outages_Feb04_Lucent_DR_0420" xfId="403" xr:uid="{00000000-0005-0000-0000-00008C010000}"/>
    <cellStyle name="_Outages_Feb04_Lucent_DR_0421" xfId="404" xr:uid="{00000000-0005-0000-0000-00008D010000}"/>
    <cellStyle name="_Outages_Feb04_Lucent_DR_0422" xfId="405" xr:uid="{00000000-0005-0000-0000-00008E010000}"/>
    <cellStyle name="_Outages_Feb04_Lucent_DR_0424a" xfId="406" xr:uid="{00000000-0005-0000-0000-00008F010000}"/>
    <cellStyle name="_Outages_Feb04_Lucent_DR_0425" xfId="407" xr:uid="{00000000-0005-0000-0000-000090010000}"/>
    <cellStyle name="_Outages_Feb04_Lucent_DR_0426" xfId="408" xr:uid="{00000000-0005-0000-0000-000091010000}"/>
    <cellStyle name="_Outages_Feb04_Lucent_DR_0427" xfId="409" xr:uid="{00000000-0005-0000-0000-000092010000}"/>
    <cellStyle name="_Outages_Feb04_Lucent_DR_0428" xfId="410" xr:uid="{00000000-0005-0000-0000-000093010000}"/>
    <cellStyle name="_Outages_Feb04_Lucent_dr_0429" xfId="411" xr:uid="{00000000-0005-0000-0000-000094010000}"/>
    <cellStyle name="_Outages_Feb04_Lucent_DR_0430b" xfId="412" xr:uid="{00000000-0005-0000-0000-000095010000}"/>
    <cellStyle name="_Outages_Feb04_Lucent_DR_0501" xfId="413" xr:uid="{00000000-0005-0000-0000-000096010000}"/>
    <cellStyle name="_Outages_Feb04_Lucent_DR_0502" xfId="414" xr:uid="{00000000-0005-0000-0000-000097010000}"/>
    <cellStyle name="_Outages_Feb04_Lucent_DR_0503" xfId="415" xr:uid="{00000000-0005-0000-0000-000098010000}"/>
    <cellStyle name="_Outages_Feb04_Lucent_DR_0504" xfId="416" xr:uid="{00000000-0005-0000-0000-000099010000}"/>
    <cellStyle name="_Outages_Feb04_Lucent_DR_0505" xfId="417" xr:uid="{00000000-0005-0000-0000-00009A010000}"/>
    <cellStyle name="_Outages_Feb04_Lucent_DR_0506" xfId="418" xr:uid="{00000000-0005-0000-0000-00009B010000}"/>
    <cellStyle name="_Outages_Feb04_Lucent_DR_0507" xfId="419" xr:uid="{00000000-0005-0000-0000-00009C010000}"/>
    <cellStyle name="_Outages_Feb04_Lucent_DR_0508" xfId="420" xr:uid="{00000000-0005-0000-0000-00009D010000}"/>
    <cellStyle name="_Outages_Feb04_Lucent_DR_0511" xfId="421" xr:uid="{00000000-0005-0000-0000-00009E010000}"/>
    <cellStyle name="_Outages_Feb04_Lucent_DR_0512" xfId="422" xr:uid="{00000000-0005-0000-0000-00009F010000}"/>
    <cellStyle name="_Outages_Feb04_Lucent_dr_0513" xfId="423" xr:uid="{00000000-0005-0000-0000-0000A0010000}"/>
    <cellStyle name="_Outages_Feb04_RF_SUMMARY_DEMO" xfId="424" xr:uid="{00000000-0005-0000-0000-0000A1010000}"/>
    <cellStyle name="_Outages_Jan01" xfId="425" xr:uid="{00000000-0005-0000-0000-0000A2010000}"/>
    <cellStyle name="_Outages_Jan01_DR_18Apr2002" xfId="426" xr:uid="{00000000-0005-0000-0000-0000A3010000}"/>
    <cellStyle name="_Outages_Jan01_DR_18Apr2002_BDH_0724_dr" xfId="427" xr:uid="{00000000-0005-0000-0000-0000A4010000}"/>
    <cellStyle name="_Outages_Jan01_Ericsson_DR_0419" xfId="428" xr:uid="{00000000-0005-0000-0000-0000A5010000}"/>
    <cellStyle name="_Outages_Jan01_Ericsson_DR_0419_BDH_0724_dr" xfId="429" xr:uid="{00000000-0005-0000-0000-0000A6010000}"/>
    <cellStyle name="_Outages_Jan01_Lucent_DR_0419" xfId="430" xr:uid="{00000000-0005-0000-0000-0000A7010000}"/>
    <cellStyle name="_Outages_Jan01_Lucent_DR_0419_BDH_0724_dr" xfId="431" xr:uid="{00000000-0005-0000-0000-0000A8010000}"/>
    <cellStyle name="_Outages_Jan02" xfId="432" xr:uid="{00000000-0005-0000-0000-0000A9010000}"/>
    <cellStyle name="_Outages_Jan02_DR_18Apr2002" xfId="433" xr:uid="{00000000-0005-0000-0000-0000AA010000}"/>
    <cellStyle name="_Outages_Jan02_DR_18Apr2002_BDH_0724_dr" xfId="434" xr:uid="{00000000-0005-0000-0000-0000AB010000}"/>
    <cellStyle name="_Outages_Jan02_Ericsson_DR_0419" xfId="435" xr:uid="{00000000-0005-0000-0000-0000AC010000}"/>
    <cellStyle name="_Outages_Jan02_Ericsson_DR_0419_BDH_0724_dr" xfId="436" xr:uid="{00000000-0005-0000-0000-0000AD010000}"/>
    <cellStyle name="_Outages_Jan02_Lucent_DR_0419" xfId="437" xr:uid="{00000000-0005-0000-0000-0000AE010000}"/>
    <cellStyle name="_Outages_Jan02_Lucent_DR_0419_BDH_0724_dr" xfId="438" xr:uid="{00000000-0005-0000-0000-0000AF010000}"/>
    <cellStyle name="_Outages_Jan03" xfId="439" xr:uid="{00000000-0005-0000-0000-0000B0010000}"/>
    <cellStyle name="_Outages_Jan03_DR_18Apr2002" xfId="440" xr:uid="{00000000-0005-0000-0000-0000B1010000}"/>
    <cellStyle name="_Outages_Jan03_DR_18Apr2002_BDH_0724_dr" xfId="441" xr:uid="{00000000-0005-0000-0000-0000B2010000}"/>
    <cellStyle name="_Outages_Jan03_Ericsson_DR_0419" xfId="442" xr:uid="{00000000-0005-0000-0000-0000B3010000}"/>
    <cellStyle name="_Outages_Jan03_Ericsson_DR_0419_BDH_0724_dr" xfId="443" xr:uid="{00000000-0005-0000-0000-0000B4010000}"/>
    <cellStyle name="_Outages_Jan03_Lucent_DR_0419" xfId="444" xr:uid="{00000000-0005-0000-0000-0000B5010000}"/>
    <cellStyle name="_Outages_Jan03_Lucent_DR_0419_BDH_0724_dr" xfId="445" xr:uid="{00000000-0005-0000-0000-0000B6010000}"/>
    <cellStyle name="_Outages_Jan04plate" xfId="446" xr:uid="{00000000-0005-0000-0000-0000B7010000}"/>
    <cellStyle name="_Outages_Jan04plate_DR_18Apr2002" xfId="447" xr:uid="{00000000-0005-0000-0000-0000B8010000}"/>
    <cellStyle name="_Outages_Jan04plate_DR_18Apr2002_BDH_0724_dr" xfId="448" xr:uid="{00000000-0005-0000-0000-0000B9010000}"/>
    <cellStyle name="_Outages_Jan04plate_Ericsson_DR_0419" xfId="449" xr:uid="{00000000-0005-0000-0000-0000BA010000}"/>
    <cellStyle name="_Outages_Jan04plate_Ericsson_DR_0419_BDH_0724_dr" xfId="450" xr:uid="{00000000-0005-0000-0000-0000BB010000}"/>
    <cellStyle name="_Outages_Jan04plate_Lucent_DR_0419" xfId="451" xr:uid="{00000000-0005-0000-0000-0000BC010000}"/>
    <cellStyle name="_Outages_Jan04plate_Lucent_DR_0419_BDH_0724_dr" xfId="452" xr:uid="{00000000-0005-0000-0000-0000BD010000}"/>
    <cellStyle name="_Outages_Jan05" xfId="453" xr:uid="{00000000-0005-0000-0000-0000BE010000}"/>
    <cellStyle name="_Outages_Jan05_DR_18Apr2002" xfId="454" xr:uid="{00000000-0005-0000-0000-0000BF010000}"/>
    <cellStyle name="_Outages_Jan05_DR_18Apr2002_BDH_0724_dr" xfId="455" xr:uid="{00000000-0005-0000-0000-0000C0010000}"/>
    <cellStyle name="_Outages_Jan05_Ericsson_DR_0419" xfId="456" xr:uid="{00000000-0005-0000-0000-0000C1010000}"/>
    <cellStyle name="_Outages_Jan05_Ericsson_DR_0419_BDH_0724_dr" xfId="457" xr:uid="{00000000-0005-0000-0000-0000C2010000}"/>
    <cellStyle name="_Outages_Jan05_Lucent_DR_0419" xfId="458" xr:uid="{00000000-0005-0000-0000-0000C3010000}"/>
    <cellStyle name="_Outages_Jan05_Lucent_DR_0419_BDH_0724_dr" xfId="459" xr:uid="{00000000-0005-0000-0000-0000C4010000}"/>
    <cellStyle name="_Outages_Jan06" xfId="460" xr:uid="{00000000-0005-0000-0000-0000C5010000}"/>
    <cellStyle name="_Outages_Jan06_DR_18Apr2002" xfId="461" xr:uid="{00000000-0005-0000-0000-0000C6010000}"/>
    <cellStyle name="_Outages_Jan06_DR_18Apr2002_BDH_0724_dr" xfId="462" xr:uid="{00000000-0005-0000-0000-0000C7010000}"/>
    <cellStyle name="_Outages_Jan06_Ericsson_DR_0419" xfId="463" xr:uid="{00000000-0005-0000-0000-0000C8010000}"/>
    <cellStyle name="_Outages_Jan06_Ericsson_DR_0419_BDH_0724_dr" xfId="464" xr:uid="{00000000-0005-0000-0000-0000C9010000}"/>
    <cellStyle name="_Outages_Jan06_Lucent_DR_0419" xfId="465" xr:uid="{00000000-0005-0000-0000-0000CA010000}"/>
    <cellStyle name="_Outages_Jan06_Lucent_DR_0419_BDH_0724_dr" xfId="466" xr:uid="{00000000-0005-0000-0000-0000CB010000}"/>
    <cellStyle name="_Outages_Jan07" xfId="467" xr:uid="{00000000-0005-0000-0000-0000CC010000}"/>
    <cellStyle name="_Outages_Jan07_DR_18Apr2002" xfId="468" xr:uid="{00000000-0005-0000-0000-0000CD010000}"/>
    <cellStyle name="_Outages_Jan07_DR_18Apr2002_BDH_0724_dr" xfId="469" xr:uid="{00000000-0005-0000-0000-0000CE010000}"/>
    <cellStyle name="_Outages_Jan07_Ericsson_DR_0419" xfId="470" xr:uid="{00000000-0005-0000-0000-0000CF010000}"/>
    <cellStyle name="_Outages_Jan07_Ericsson_DR_0419_BDH_0724_dr" xfId="471" xr:uid="{00000000-0005-0000-0000-0000D0010000}"/>
    <cellStyle name="_Outages_Jan07_Lucent_DR_0419" xfId="472" xr:uid="{00000000-0005-0000-0000-0000D1010000}"/>
    <cellStyle name="_Outages_Jan07_Lucent_DR_0419_BDH_0724_dr" xfId="473" xr:uid="{00000000-0005-0000-0000-0000D2010000}"/>
    <cellStyle name="_Outages_Jan08" xfId="474" xr:uid="{00000000-0005-0000-0000-0000D3010000}"/>
    <cellStyle name="_Outages_Jan08_DR_18Apr2002" xfId="475" xr:uid="{00000000-0005-0000-0000-0000D4010000}"/>
    <cellStyle name="_Outages_Jan08_DR_18Apr2002_BDH_0724_dr" xfId="476" xr:uid="{00000000-0005-0000-0000-0000D5010000}"/>
    <cellStyle name="_Outages_Jan08_Ericsson_DR_0419" xfId="477" xr:uid="{00000000-0005-0000-0000-0000D6010000}"/>
    <cellStyle name="_Outages_Jan08_Ericsson_DR_0419_BDH_0724_dr" xfId="478" xr:uid="{00000000-0005-0000-0000-0000D7010000}"/>
    <cellStyle name="_Outages_Jan08_Lucent_DR_0419" xfId="479" xr:uid="{00000000-0005-0000-0000-0000D8010000}"/>
    <cellStyle name="_Outages_Jan08_Lucent_DR_0419_BDH_0724_dr" xfId="480" xr:uid="{00000000-0005-0000-0000-0000D9010000}"/>
    <cellStyle name="_Outages_Jan29" xfId="481" xr:uid="{00000000-0005-0000-0000-0000DA010000}"/>
    <cellStyle name="_Outages_Jan30" xfId="482" xr:uid="{00000000-0005-0000-0000-0000DB010000}"/>
    <cellStyle name="_Outages_Jan30_BDH_0724_dr" xfId="483" xr:uid="{00000000-0005-0000-0000-0000DC010000}"/>
    <cellStyle name="_Outages_Jan30_DR_22Apr2002" xfId="484" xr:uid="{00000000-0005-0000-0000-0000DD010000}"/>
    <cellStyle name="_Outages_Jan30_DR_22Apr2002_BDH_0724_dr" xfId="485" xr:uid="{00000000-0005-0000-0000-0000DE010000}"/>
    <cellStyle name="_Outages_Jan30_DR_25May2002" xfId="486" xr:uid="{00000000-0005-0000-0000-0000DF010000}"/>
    <cellStyle name="_Outages_Jan30_DR_27Apr2002" xfId="487" xr:uid="{00000000-0005-0000-0000-0000E0010000}"/>
    <cellStyle name="_Outages_Jan30_DR_27Apr2002_BDH_0724_dr" xfId="488" xr:uid="{00000000-0005-0000-0000-0000E1010000}"/>
    <cellStyle name="_Outages_Jan30_DR2002_05_20" xfId="489" xr:uid="{00000000-0005-0000-0000-0000E2010000}"/>
    <cellStyle name="_Outages_Jan30_DR2002_05_22" xfId="490" xr:uid="{00000000-0005-0000-0000-0000E3010000}"/>
    <cellStyle name="_Outages_Jan30_DR2002_05_25" xfId="491" xr:uid="{00000000-0005-0000-0000-0000E4010000}"/>
    <cellStyle name="_Outages_Jan30_DR2002_05_26" xfId="492" xr:uid="{00000000-0005-0000-0000-0000E5010000}"/>
    <cellStyle name="_Outages_Jan30_DR2002_05_27" xfId="493" xr:uid="{00000000-0005-0000-0000-0000E6010000}"/>
    <cellStyle name="_Outages_Jan30_DR2002_05_28" xfId="494" xr:uid="{00000000-0005-0000-0000-0000E7010000}"/>
    <cellStyle name="_Outages_Jan30_DR2002_05_29" xfId="495" xr:uid="{00000000-0005-0000-0000-0000E8010000}"/>
    <cellStyle name="_Outages_Jan30_DR2002_05_30" xfId="496" xr:uid="{00000000-0005-0000-0000-0000E9010000}"/>
    <cellStyle name="_Outages_Jan30_DR2002_05_31" xfId="497" xr:uid="{00000000-0005-0000-0000-0000EA010000}"/>
    <cellStyle name="_Outages_Jan30_DR2002_06_01" xfId="498" xr:uid="{00000000-0005-0000-0000-0000EB010000}"/>
    <cellStyle name="_Outages_Jan30_DR2002_06_02" xfId="499" xr:uid="{00000000-0005-0000-0000-0000EC010000}"/>
    <cellStyle name="_Outages_Jan30_DR2002_06_04" xfId="500" xr:uid="{00000000-0005-0000-0000-0000ED010000}"/>
    <cellStyle name="_Outages_Jan30_DR2002_06_05" xfId="501" xr:uid="{00000000-0005-0000-0000-0000EE010000}"/>
    <cellStyle name="_Outages_Jan30_DR2002_06_06" xfId="502" xr:uid="{00000000-0005-0000-0000-0000EF010000}"/>
    <cellStyle name="_Outages_Jan30_DR2002_06_07" xfId="503" xr:uid="{00000000-0005-0000-0000-0000F0010000}"/>
    <cellStyle name="_Outages_Jan30_DR2002_06_08" xfId="504" xr:uid="{00000000-0005-0000-0000-0000F1010000}"/>
    <cellStyle name="_Outages_Jan30_DR2002_06_09" xfId="505" xr:uid="{00000000-0005-0000-0000-0000F2010000}"/>
    <cellStyle name="_Outages_Jan30_DR2002_06_10" xfId="506" xr:uid="{00000000-0005-0000-0000-0000F3010000}"/>
    <cellStyle name="_Outages_Jan30_DR2002_06_11" xfId="507" xr:uid="{00000000-0005-0000-0000-0000F4010000}"/>
    <cellStyle name="_Outages_Jan30_DR2002_06_12" xfId="508" xr:uid="{00000000-0005-0000-0000-0000F5010000}"/>
    <cellStyle name="_Outages_Jan30_DR2002_06_13" xfId="509" xr:uid="{00000000-0005-0000-0000-0000F6010000}"/>
    <cellStyle name="_Outages_Jan30_DR2002_06_14" xfId="510" xr:uid="{00000000-0005-0000-0000-0000F7010000}"/>
    <cellStyle name="_Outages_Jan30_DR2002_06_15" xfId="511" xr:uid="{00000000-0005-0000-0000-0000F8010000}"/>
    <cellStyle name="_Outages_Jan30_DR2002_06_16" xfId="512" xr:uid="{00000000-0005-0000-0000-0000F9010000}"/>
    <cellStyle name="_Outages_Jan30_DR2002_06_17" xfId="513" xr:uid="{00000000-0005-0000-0000-0000FA010000}"/>
    <cellStyle name="_Outages_Jan30_DR2002_06_18" xfId="514" xr:uid="{00000000-0005-0000-0000-0000FB010000}"/>
    <cellStyle name="_Outages_Jan30_DR2002_06_19" xfId="515" xr:uid="{00000000-0005-0000-0000-0000FC010000}"/>
    <cellStyle name="_Outages_Jan30_DR2002_06_20" xfId="516" xr:uid="{00000000-0005-0000-0000-0000FD010000}"/>
    <cellStyle name="_Outages_Jan30_DR2002_06_21" xfId="517" xr:uid="{00000000-0005-0000-0000-0000FE010000}"/>
    <cellStyle name="_Outages_Jan30_DR2002_06_22" xfId="518" xr:uid="{00000000-0005-0000-0000-0000FF010000}"/>
    <cellStyle name="_Outages_Jan30_DR2002_06_23" xfId="519" xr:uid="{00000000-0005-0000-0000-000000020000}"/>
    <cellStyle name="_Outages_Jan30_DR2002_06_24" xfId="520" xr:uid="{00000000-0005-0000-0000-000001020000}"/>
    <cellStyle name="_Outages_Jan30_DR2002_06_25" xfId="521" xr:uid="{00000000-0005-0000-0000-000002020000}"/>
    <cellStyle name="_Outages_Jan30_DR2002_06_26" xfId="522" xr:uid="{00000000-0005-0000-0000-000003020000}"/>
    <cellStyle name="_Outages_Jan30_DR2002_06_27" xfId="523" xr:uid="{00000000-0005-0000-0000-000004020000}"/>
    <cellStyle name="_Outages_Jan30_DR2002_06_28" xfId="524" xr:uid="{00000000-0005-0000-0000-000005020000}"/>
    <cellStyle name="_Outages_Jan30_DR2002_06_29" xfId="525" xr:uid="{00000000-0005-0000-0000-000006020000}"/>
    <cellStyle name="_Outages_Jan30_DR2002_06_30" xfId="526" xr:uid="{00000000-0005-0000-0000-000007020000}"/>
    <cellStyle name="_Outages_Jan30_DR2002_07_01" xfId="527" xr:uid="{00000000-0005-0000-0000-000008020000}"/>
    <cellStyle name="_Outages_Jan30_DR2002_07_02" xfId="528" xr:uid="{00000000-0005-0000-0000-000009020000}"/>
    <cellStyle name="_Outages_Jan30_DR2002_07_03" xfId="529" xr:uid="{00000000-0005-0000-0000-00000A020000}"/>
    <cellStyle name="_Outages_Jan30_DR2002_07_05" xfId="530" xr:uid="{00000000-0005-0000-0000-00000B020000}"/>
    <cellStyle name="_Outages_Jan30_ERIC_DR_01_08_02" xfId="531" xr:uid="{00000000-0005-0000-0000-00000C020000}"/>
    <cellStyle name="_Outages_Jan30_ERIC_DR_02_08_02" xfId="532" xr:uid="{00000000-0005-0000-0000-00000D020000}"/>
    <cellStyle name="_Outages_Jan30_ERIC_DR_03_08_02" xfId="533" xr:uid="{00000000-0005-0000-0000-00000E020000}"/>
    <cellStyle name="_Outages_Jan30_ERIC_DR_04_08_02" xfId="534" xr:uid="{00000000-0005-0000-0000-00000F020000}"/>
    <cellStyle name="_Outages_Jan30_ERIC_DR_05_08_02" xfId="535" xr:uid="{00000000-0005-0000-0000-000010020000}"/>
    <cellStyle name="_Outages_Jan30_ERIC_DR_06_07_02" xfId="536" xr:uid="{00000000-0005-0000-0000-000011020000}"/>
    <cellStyle name="_Outages_Jan30_ERIC_DR_06_08_02" xfId="537" xr:uid="{00000000-0005-0000-0000-000012020000}"/>
    <cellStyle name="_Outages_Jan30_ERIC_DR_07_07_02" xfId="538" xr:uid="{00000000-0005-0000-0000-000013020000}"/>
    <cellStyle name="_Outages_Jan30_ERIC_DR_08_07_02" xfId="539" xr:uid="{00000000-0005-0000-0000-000014020000}"/>
    <cellStyle name="_Outages_Jan30_ERIC_DR_08_08_02" xfId="540" xr:uid="{00000000-0005-0000-0000-000015020000}"/>
    <cellStyle name="_Outages_Jan30_ERIC_DR_09_07_02" xfId="541" xr:uid="{00000000-0005-0000-0000-000016020000}"/>
    <cellStyle name="_Outages_Jan30_ERIC_DR_10_07_02" xfId="542" xr:uid="{00000000-0005-0000-0000-000017020000}"/>
    <cellStyle name="_Outages_Jan30_ERIC_DR_11_07_02" xfId="543" xr:uid="{00000000-0005-0000-0000-000018020000}"/>
    <cellStyle name="_Outages_Jan30_ERIC_DR_12_07_02" xfId="544" xr:uid="{00000000-0005-0000-0000-000019020000}"/>
    <cellStyle name="_Outages_Jan30_ERIC_DR_13_07_02" xfId="545" xr:uid="{00000000-0005-0000-0000-00001A020000}"/>
    <cellStyle name="_Outages_Jan30_ERIC_DR_13_08_02" xfId="546" xr:uid="{00000000-0005-0000-0000-00001B020000}"/>
    <cellStyle name="_Outages_Jan30_ERIC_DR_14_07_02" xfId="547" xr:uid="{00000000-0005-0000-0000-00001C020000}"/>
    <cellStyle name="_Outages_Jan30_ERIC_DR_14_08_02" xfId="548" xr:uid="{00000000-0005-0000-0000-00001D020000}"/>
    <cellStyle name="_Outages_Jan30_ERIC_DR_15_07_02" xfId="549" xr:uid="{00000000-0005-0000-0000-00001E020000}"/>
    <cellStyle name="_Outages_Jan30_ERIC_DR_15_08_02" xfId="550" xr:uid="{00000000-0005-0000-0000-00001F020000}"/>
    <cellStyle name="_Outages_Jan30_ERIC_DR_16_07_02" xfId="551" xr:uid="{00000000-0005-0000-0000-000020020000}"/>
    <cellStyle name="_Outages_Jan30_ERIC_DR_16_08_02" xfId="552" xr:uid="{00000000-0005-0000-0000-000021020000}"/>
    <cellStyle name="_Outages_Jan30_ERIC_DR_17_07_02" xfId="553" xr:uid="{00000000-0005-0000-0000-000022020000}"/>
    <cellStyle name="_Outages_Jan30_ERIC_DR_17_08_02" xfId="554" xr:uid="{00000000-0005-0000-0000-000023020000}"/>
    <cellStyle name="_Outages_Jan30_ERIC_DR_18_07_02" xfId="555" xr:uid="{00000000-0005-0000-0000-000024020000}"/>
    <cellStyle name="_Outages_Jan30_ERIC_DR_18_08_02" xfId="556" xr:uid="{00000000-0005-0000-0000-000025020000}"/>
    <cellStyle name="_Outages_Jan30_ERIC_DR_19_07_02" xfId="557" xr:uid="{00000000-0005-0000-0000-000026020000}"/>
    <cellStyle name="_Outages_Jan30_ERIC_DR_19_08_02" xfId="558" xr:uid="{00000000-0005-0000-0000-000027020000}"/>
    <cellStyle name="_Outages_Jan30_ERIC_DR_20_07_02" xfId="559" xr:uid="{00000000-0005-0000-0000-000028020000}"/>
    <cellStyle name="_Outages_Jan30_ERIC_DR_21_07_02" xfId="560" xr:uid="{00000000-0005-0000-0000-000029020000}"/>
    <cellStyle name="_Outages_Jan30_ERIC_DR_22_07_02" xfId="561" xr:uid="{00000000-0005-0000-0000-00002A020000}"/>
    <cellStyle name="_Outages_Jan30_ERIC_DR_23_07_02" xfId="562" xr:uid="{00000000-0005-0000-0000-00002B020000}"/>
    <cellStyle name="_Outages_Jan30_ERIC_DR_24_07_02" xfId="563" xr:uid="{00000000-0005-0000-0000-00002C020000}"/>
    <cellStyle name="_Outages_Jan30_ERIC_DR_25_07_02" xfId="564" xr:uid="{00000000-0005-0000-0000-00002D020000}"/>
    <cellStyle name="_Outages_Jan30_ERIC_DR_26_07_02" xfId="565" xr:uid="{00000000-0005-0000-0000-00002E020000}"/>
    <cellStyle name="_Outages_Jan30_ERIC_DR_27_07_02" xfId="566" xr:uid="{00000000-0005-0000-0000-00002F020000}"/>
    <cellStyle name="_Outages_Jan30_ERIC_DR_28_07_02" xfId="567" xr:uid="{00000000-0005-0000-0000-000030020000}"/>
    <cellStyle name="_Outages_Jan30_ERIC_DR_28_09_02" xfId="568" xr:uid="{00000000-0005-0000-0000-000031020000}"/>
    <cellStyle name="_Outages_Jan30_ERIC_DR_29_07_02" xfId="569" xr:uid="{00000000-0005-0000-0000-000032020000}"/>
    <cellStyle name="_Outages_Jan30_ERIC_DR_29_09_02" xfId="570" xr:uid="{00000000-0005-0000-0000-000033020000}"/>
    <cellStyle name="_Outages_Jan30_ERIC_DR_30_07_02" xfId="571" xr:uid="{00000000-0005-0000-0000-000034020000}"/>
    <cellStyle name="_Outages_Jan30_ERIC_DR_31_07_02" xfId="572" xr:uid="{00000000-0005-0000-0000-000035020000}"/>
    <cellStyle name="_Outages_Jan30_ERIC_DR_9_08_02" xfId="573" xr:uid="{00000000-0005-0000-0000-000036020000}"/>
    <cellStyle name="_Outages_Jan30_ERICSSON_DR_04_07_02" xfId="574" xr:uid="{00000000-0005-0000-0000-000037020000}"/>
    <cellStyle name="_Outages_Jan30_Ericsson_DR_0420" xfId="575" xr:uid="{00000000-0005-0000-0000-000038020000}"/>
    <cellStyle name="_Outages_Jan30_Ericsson_DR_0421" xfId="576" xr:uid="{00000000-0005-0000-0000-000039020000}"/>
    <cellStyle name="_Outages_Jan30_Ericsson_DR_0422" xfId="577" xr:uid="{00000000-0005-0000-0000-00003A020000}"/>
    <cellStyle name="_Outages_Jan30_Ericsson_DR_0423" xfId="578" xr:uid="{00000000-0005-0000-0000-00003B020000}"/>
    <cellStyle name="_Outages_Jan30_Ericsson_DR_0424" xfId="579" xr:uid="{00000000-0005-0000-0000-00003C020000}"/>
    <cellStyle name="_Outages_Jan30_Ericsson_DR_0425" xfId="580" xr:uid="{00000000-0005-0000-0000-00003D020000}"/>
    <cellStyle name="_Outages_Jan30_Ericsson_DR_0426" xfId="581" xr:uid="{00000000-0005-0000-0000-00003E020000}"/>
    <cellStyle name="_Outages_Jan30_Ericsson_DR_0427" xfId="582" xr:uid="{00000000-0005-0000-0000-00003F020000}"/>
    <cellStyle name="_Outages_Jan30_Ericsson_DR_0428" xfId="583" xr:uid="{00000000-0005-0000-0000-000040020000}"/>
    <cellStyle name="_Outages_Jan30_Ericsson_DR_0429" xfId="584" xr:uid="{00000000-0005-0000-0000-000041020000}"/>
    <cellStyle name="_Outages_Jan30_Ericsson_DR_0430" xfId="585" xr:uid="{00000000-0005-0000-0000-000042020000}"/>
    <cellStyle name="_Outages_Jan30_Ericsson_DR_0501" xfId="586" xr:uid="{00000000-0005-0000-0000-000043020000}"/>
    <cellStyle name="_Outages_Jan30_Ericsson_DR_0502" xfId="587" xr:uid="{00000000-0005-0000-0000-000044020000}"/>
    <cellStyle name="_Outages_Jan30_Ericsson_DR_0503" xfId="588" xr:uid="{00000000-0005-0000-0000-000045020000}"/>
    <cellStyle name="_Outages_Jan30_Ericsson_DR_0504" xfId="589" xr:uid="{00000000-0005-0000-0000-000046020000}"/>
    <cellStyle name="_Outages_Jan30_Ericsson_DR_0505" xfId="590" xr:uid="{00000000-0005-0000-0000-000047020000}"/>
    <cellStyle name="_Outages_Jan30_Ericsson_DR_0506" xfId="591" xr:uid="{00000000-0005-0000-0000-000048020000}"/>
    <cellStyle name="_Outages_Jan30_Ericsson_DR_0507" xfId="592" xr:uid="{00000000-0005-0000-0000-000049020000}"/>
    <cellStyle name="_Outages_Jan30_Ericsson_DR_0508" xfId="593" xr:uid="{00000000-0005-0000-0000-00004A020000}"/>
    <cellStyle name="_Outages_Jan30_Ericsson_DR_0511" xfId="594" xr:uid="{00000000-0005-0000-0000-00004B020000}"/>
    <cellStyle name="_Outages_Jan30_Ericsson_DR_0512" xfId="595" xr:uid="{00000000-0005-0000-0000-00004C020000}"/>
    <cellStyle name="_Outages_Jan30_Ericsson_DR_0513" xfId="596" xr:uid="{00000000-0005-0000-0000-00004D020000}"/>
    <cellStyle name="_Outages_Jan30_Ericsson_DR_0514" xfId="597" xr:uid="{00000000-0005-0000-0000-00004E020000}"/>
    <cellStyle name="_Outages_Jan30_Ericsson_DR_0515" xfId="598" xr:uid="{00000000-0005-0000-0000-00004F020000}"/>
    <cellStyle name="_Outages_Jan30_Ericsson_DR_0518" xfId="599" xr:uid="{00000000-0005-0000-0000-000050020000}"/>
    <cellStyle name="_Outages_Jan30_Ericsson_DR_0519" xfId="600" xr:uid="{00000000-0005-0000-0000-000051020000}"/>
    <cellStyle name="_Outages_Jan30_Ericsson_DR_0520" xfId="601" xr:uid="{00000000-0005-0000-0000-000052020000}"/>
    <cellStyle name="_Outages_Jan30_Ericsson_DR_0521" xfId="602" xr:uid="{00000000-0005-0000-0000-000053020000}"/>
    <cellStyle name="_Outages_Jan30_Ericsson_DR_0522" xfId="603" xr:uid="{00000000-0005-0000-0000-000054020000}"/>
    <cellStyle name="_Outages_Jan30_Ericsson_DR_0523" xfId="604" xr:uid="{00000000-0005-0000-0000-000055020000}"/>
    <cellStyle name="_Outages_Jan30_Ericsson_DR_0524" xfId="605" xr:uid="{00000000-0005-0000-0000-000056020000}"/>
    <cellStyle name="_Outages_Jan30_Ericsson_DR_0525" xfId="606" xr:uid="{00000000-0005-0000-0000-000057020000}"/>
    <cellStyle name="_Outages_Jan30_Ericsson_DR_0526" xfId="607" xr:uid="{00000000-0005-0000-0000-000058020000}"/>
    <cellStyle name="_Outages_Jan30_Ericsson_DR_0527" xfId="608" xr:uid="{00000000-0005-0000-0000-000059020000}"/>
    <cellStyle name="_Outages_Jan30_Ericsson_DR_0528" xfId="609" xr:uid="{00000000-0005-0000-0000-00005A020000}"/>
    <cellStyle name="_Outages_Jan30_Ericsson_DR_0529" xfId="610" xr:uid="{00000000-0005-0000-0000-00005B020000}"/>
    <cellStyle name="_Outages_Jan30_Ericsson_DR_0530" xfId="611" xr:uid="{00000000-0005-0000-0000-00005C020000}"/>
    <cellStyle name="_Outages_Jan30_Ericsson_DR_0531" xfId="612" xr:uid="{00000000-0005-0000-0000-00005D020000}"/>
    <cellStyle name="_Outages_Jan30_Ericsson_DR_0601" xfId="613" xr:uid="{00000000-0005-0000-0000-00005E020000}"/>
    <cellStyle name="_Outages_Jan30_Ericsson_DR_0602" xfId="614" xr:uid="{00000000-0005-0000-0000-00005F020000}"/>
    <cellStyle name="_Outages_Jan30_Ericsson_DR_0604" xfId="615" xr:uid="{00000000-0005-0000-0000-000060020000}"/>
    <cellStyle name="_Outages_Jan30_Ericsson_DR_0605" xfId="616" xr:uid="{00000000-0005-0000-0000-000061020000}"/>
    <cellStyle name="_Outages_Jan30_Ericsson_DR_0606" xfId="617" xr:uid="{00000000-0005-0000-0000-000062020000}"/>
    <cellStyle name="_Outages_Jan30_Ericsson_DR_0607" xfId="618" xr:uid="{00000000-0005-0000-0000-000063020000}"/>
    <cellStyle name="_Outages_Jan30_Ericsson_DR_0608" xfId="619" xr:uid="{00000000-0005-0000-0000-000064020000}"/>
    <cellStyle name="_Outages_Jan30_Ericsson_DR_0609" xfId="620" xr:uid="{00000000-0005-0000-0000-000065020000}"/>
    <cellStyle name="_Outages_Jan30_Ericsson_DR_0610" xfId="621" xr:uid="{00000000-0005-0000-0000-000066020000}"/>
    <cellStyle name="_Outages_Jan30_Ericsson_DR_0611" xfId="622" xr:uid="{00000000-0005-0000-0000-000067020000}"/>
    <cellStyle name="_Outages_Jan30_Ericsson_DR_0612" xfId="623" xr:uid="{00000000-0005-0000-0000-000068020000}"/>
    <cellStyle name="_Outages_Jan30_Ericsson_DR_0613" xfId="624" xr:uid="{00000000-0005-0000-0000-000069020000}"/>
    <cellStyle name="_Outages_Jan30_Ericsson_DR_0614" xfId="625" xr:uid="{00000000-0005-0000-0000-00006A020000}"/>
    <cellStyle name="_Outages_Jan30_Ericsson_DR_0615" xfId="626" xr:uid="{00000000-0005-0000-0000-00006B020000}"/>
    <cellStyle name="_Outages_Jan30_Ericsson_DR_0616" xfId="627" xr:uid="{00000000-0005-0000-0000-00006C020000}"/>
    <cellStyle name="_Outages_Jan30_Ericsson_DR_0617" xfId="628" xr:uid="{00000000-0005-0000-0000-00006D020000}"/>
    <cellStyle name="_Outages_Jan30_Ericsson_DR_0618" xfId="629" xr:uid="{00000000-0005-0000-0000-00006E020000}"/>
    <cellStyle name="_Outages_Jan30_Ericsson_DR_0619" xfId="630" xr:uid="{00000000-0005-0000-0000-00006F020000}"/>
    <cellStyle name="_Outages_Jan30_Ericsson_DR_0620" xfId="631" xr:uid="{00000000-0005-0000-0000-000070020000}"/>
    <cellStyle name="_Outages_Jan30_Ericsson_DR_0621" xfId="632" xr:uid="{00000000-0005-0000-0000-000071020000}"/>
    <cellStyle name="_Outages_Jan30_Ericsson_DR_0622" xfId="633" xr:uid="{00000000-0005-0000-0000-000072020000}"/>
    <cellStyle name="_Outages_Jan30_Ericsson_DR_0623" xfId="634" xr:uid="{00000000-0005-0000-0000-000073020000}"/>
    <cellStyle name="_Outages_Jan30_Ericsson_DR_0624" xfId="635" xr:uid="{00000000-0005-0000-0000-000074020000}"/>
    <cellStyle name="_Outages_Jan30_Ericsson_DR_0625" xfId="636" xr:uid="{00000000-0005-0000-0000-000075020000}"/>
    <cellStyle name="_Outages_Jan30_Ericsson_DR_0626" xfId="637" xr:uid="{00000000-0005-0000-0000-000076020000}"/>
    <cellStyle name="_Outages_Jan30_Ericsson_DR_0627" xfId="638" xr:uid="{00000000-0005-0000-0000-000077020000}"/>
    <cellStyle name="_Outages_Jan30_Ericsson_DR_0628" xfId="639" xr:uid="{00000000-0005-0000-0000-000078020000}"/>
    <cellStyle name="_Outages_Jan30_Ericsson_DR_0629" xfId="640" xr:uid="{00000000-0005-0000-0000-000079020000}"/>
    <cellStyle name="_Outages_Jan30_Ericsson_DR_0630" xfId="641" xr:uid="{00000000-0005-0000-0000-00007A020000}"/>
    <cellStyle name="_Outages_Jan30_Ericsson_DR_0701" xfId="642" xr:uid="{00000000-0005-0000-0000-00007B020000}"/>
    <cellStyle name="_Outages_Jan30_Ericsson_DR_0702" xfId="643" xr:uid="{00000000-0005-0000-0000-00007C020000}"/>
    <cellStyle name="_Outages_Jan30_Ericsson_DR_0703" xfId="644" xr:uid="{00000000-0005-0000-0000-00007D020000}"/>
    <cellStyle name="_Outages_Jan30_Ericsson_DR_0704" xfId="645" xr:uid="{00000000-0005-0000-0000-00007E020000}"/>
    <cellStyle name="_Outages_Jan30_Ericsson_DR_0705" xfId="646" xr:uid="{00000000-0005-0000-0000-00007F020000}"/>
    <cellStyle name="_Outages_Jan30_Ericsson_DR_0706" xfId="647" xr:uid="{00000000-0005-0000-0000-000080020000}"/>
    <cellStyle name="_Outages_Jan30_Ericsson_DR_0707" xfId="648" xr:uid="{00000000-0005-0000-0000-000081020000}"/>
    <cellStyle name="_Outages_Jan30_Ericsson_DR_0708" xfId="649" xr:uid="{00000000-0005-0000-0000-000082020000}"/>
    <cellStyle name="_Outages_Jan30_Ericsson_DR_0709" xfId="650" xr:uid="{00000000-0005-0000-0000-000083020000}"/>
    <cellStyle name="_Outages_Jan30_Ericsson_DR_0710" xfId="651" xr:uid="{00000000-0005-0000-0000-000084020000}"/>
    <cellStyle name="_Outages_Jan30_Ericsson_DR_0711" xfId="652" xr:uid="{00000000-0005-0000-0000-000085020000}"/>
    <cellStyle name="_Outages_Jan30_Ericsson_DR_0712" xfId="653" xr:uid="{00000000-0005-0000-0000-000086020000}"/>
    <cellStyle name="_Outages_Jan30_Ericsson_DR_0713" xfId="654" xr:uid="{00000000-0005-0000-0000-000087020000}"/>
    <cellStyle name="_Outages_Jan30_Ericsson_DR_0714" xfId="655" xr:uid="{00000000-0005-0000-0000-000088020000}"/>
    <cellStyle name="_Outages_Jan30_Ericsson_DR_0715" xfId="656" xr:uid="{00000000-0005-0000-0000-000089020000}"/>
    <cellStyle name="_Outages_Jan30_Ericsson_DR_0716" xfId="657" xr:uid="{00000000-0005-0000-0000-00008A020000}"/>
    <cellStyle name="_Outages_Jan30_Ericsson_DR_0717" xfId="658" xr:uid="{00000000-0005-0000-0000-00008B020000}"/>
    <cellStyle name="_Outages_Jan30_Ericsson_DR_0718" xfId="659" xr:uid="{00000000-0005-0000-0000-00008C020000}"/>
    <cellStyle name="_Outages_Jan30_Ericsson_DR_0719" xfId="660" xr:uid="{00000000-0005-0000-0000-00008D020000}"/>
    <cellStyle name="_Outages_Jan30_Ericsson_DR_0720" xfId="661" xr:uid="{00000000-0005-0000-0000-00008E020000}"/>
    <cellStyle name="_Outages_Jan30_Ericsson_DR_0721" xfId="662" xr:uid="{00000000-0005-0000-0000-00008F020000}"/>
    <cellStyle name="_Outages_Jan30_Ericsson_DR_0722" xfId="663" xr:uid="{00000000-0005-0000-0000-000090020000}"/>
    <cellStyle name="_Outages_Jan30_Ericsson_DR_0723" xfId="664" xr:uid="{00000000-0005-0000-0000-000091020000}"/>
    <cellStyle name="_Outages_Jan30_Ericsson_DR_0724" xfId="665" xr:uid="{00000000-0005-0000-0000-000092020000}"/>
    <cellStyle name="_Outages_Jan30_Ericsson_DR_0725" xfId="666" xr:uid="{00000000-0005-0000-0000-000093020000}"/>
    <cellStyle name="_Outages_Jan30_Ericsson_DR_0726" xfId="667" xr:uid="{00000000-0005-0000-0000-000094020000}"/>
    <cellStyle name="_Outages_Jan30_Ericsson_DR_0727" xfId="668" xr:uid="{00000000-0005-0000-0000-000095020000}"/>
    <cellStyle name="_Outages_Jan30_Ericsson_DR_0728" xfId="669" xr:uid="{00000000-0005-0000-0000-000096020000}"/>
    <cellStyle name="_Outages_Jan30_Ericsson_DR_0729" xfId="670" xr:uid="{00000000-0005-0000-0000-000097020000}"/>
    <cellStyle name="_Outages_Jan30_Ericsson_DR_0730" xfId="671" xr:uid="{00000000-0005-0000-0000-000098020000}"/>
    <cellStyle name="_Outages_Jan30_Ericsson_DR_0731" xfId="672" xr:uid="{00000000-0005-0000-0000-000099020000}"/>
    <cellStyle name="_Outages_Jan30_Ericsson_DR_0801" xfId="673" xr:uid="{00000000-0005-0000-0000-00009A020000}"/>
    <cellStyle name="_Outages_Jan30_Ericsson_DR_0802" xfId="674" xr:uid="{00000000-0005-0000-0000-00009B020000}"/>
    <cellStyle name="_Outages_Jan30_Ericsson_DR_0803" xfId="675" xr:uid="{00000000-0005-0000-0000-00009C020000}"/>
    <cellStyle name="_Outages_Jan30_Ericsson_DR_0804" xfId="676" xr:uid="{00000000-0005-0000-0000-00009D020000}"/>
    <cellStyle name="_Outages_Jan30_Ericsson_DR_0805" xfId="677" xr:uid="{00000000-0005-0000-0000-00009E020000}"/>
    <cellStyle name="_Outages_Jan30_Ericsson_DR_0806" xfId="678" xr:uid="{00000000-0005-0000-0000-00009F020000}"/>
    <cellStyle name="_Outages_Jan30_Ericsson_DR_0808" xfId="679" xr:uid="{00000000-0005-0000-0000-0000A0020000}"/>
    <cellStyle name="_Outages_Jan30_Ericsson_DR_0809" xfId="680" xr:uid="{00000000-0005-0000-0000-0000A1020000}"/>
    <cellStyle name="_Outages_Jan30_Ericsson_DR_0813" xfId="681" xr:uid="{00000000-0005-0000-0000-0000A2020000}"/>
    <cellStyle name="_Outages_Jan30_Ericsson_DR_0814" xfId="682" xr:uid="{00000000-0005-0000-0000-0000A3020000}"/>
    <cellStyle name="_Outages_Jan30_Ericsson_DR_0815" xfId="683" xr:uid="{00000000-0005-0000-0000-0000A4020000}"/>
    <cellStyle name="_Outages_Jan30_Ericsson_DR_0816" xfId="684" xr:uid="{00000000-0005-0000-0000-0000A5020000}"/>
    <cellStyle name="_Outages_Jan30_Ericsson_DR_0817" xfId="685" xr:uid="{00000000-0005-0000-0000-0000A6020000}"/>
    <cellStyle name="_Outages_Jan30_Ericsson_DR_0818" xfId="686" xr:uid="{00000000-0005-0000-0000-0000A7020000}"/>
    <cellStyle name="_Outages_Jan30_Ericsson_DR_0819" xfId="687" xr:uid="{00000000-0005-0000-0000-0000A8020000}"/>
    <cellStyle name="_Outages_Jan30_Exec Sum_0619" xfId="688" xr:uid="{00000000-0005-0000-0000-0000A9020000}"/>
    <cellStyle name="_Outages_Jan30_Exec Sum_0620" xfId="689" xr:uid="{00000000-0005-0000-0000-0000AA020000}"/>
    <cellStyle name="_Outages_Jan30_Exec Sum_0621" xfId="690" xr:uid="{00000000-0005-0000-0000-0000AB020000}"/>
    <cellStyle name="_Outages_Jan30_Exec Sum_0622" xfId="691" xr:uid="{00000000-0005-0000-0000-0000AC020000}"/>
    <cellStyle name="_Outages_Jan30_Exec Sum_0623" xfId="692" xr:uid="{00000000-0005-0000-0000-0000AD020000}"/>
    <cellStyle name="_Outages_Jan30_Exec Sum_0624" xfId="693" xr:uid="{00000000-0005-0000-0000-0000AE020000}"/>
    <cellStyle name="_Outages_Jan30_Exec Sum_0625" xfId="694" xr:uid="{00000000-0005-0000-0000-0000AF020000}"/>
    <cellStyle name="_Outages_Jan30_Exec Sum_0626" xfId="695" xr:uid="{00000000-0005-0000-0000-0000B0020000}"/>
    <cellStyle name="_Outages_Jan30_Exec Sum_0627" xfId="696" xr:uid="{00000000-0005-0000-0000-0000B1020000}"/>
    <cellStyle name="_Outages_Jan30_Exec Sum_0628" xfId="697" xr:uid="{00000000-0005-0000-0000-0000B2020000}"/>
    <cellStyle name="_Outages_Jan30_Exec Sum_0629" xfId="698" xr:uid="{00000000-0005-0000-0000-0000B3020000}"/>
    <cellStyle name="_Outages_Jan30_Exec Sum_0630" xfId="699" xr:uid="{00000000-0005-0000-0000-0000B4020000}"/>
    <cellStyle name="_Outages_Jan30_Exec Sum_0701" xfId="700" xr:uid="{00000000-0005-0000-0000-0000B5020000}"/>
    <cellStyle name="_Outages_Jan30_Exec Sum_0702" xfId="701" xr:uid="{00000000-0005-0000-0000-0000B6020000}"/>
    <cellStyle name="_Outages_Jan30_Exec Sum_0703" xfId="702" xr:uid="{00000000-0005-0000-0000-0000B7020000}"/>
    <cellStyle name="_Outages_Jan30_Exec Sum_0704" xfId="703" xr:uid="{00000000-0005-0000-0000-0000B8020000}"/>
    <cellStyle name="_Outages_Jan30_Exec Sum_0705" xfId="704" xr:uid="{00000000-0005-0000-0000-0000B9020000}"/>
    <cellStyle name="_Outages_Jan30_Exec Sum_0706" xfId="705" xr:uid="{00000000-0005-0000-0000-0000BA020000}"/>
    <cellStyle name="_Outages_Jan30_Exec Sum_0707" xfId="706" xr:uid="{00000000-0005-0000-0000-0000BB020000}"/>
    <cellStyle name="_Outages_Jan30_Exec Sum_0708" xfId="707" xr:uid="{00000000-0005-0000-0000-0000BC020000}"/>
    <cellStyle name="_Outages_Jan30_Exec Sum_0709" xfId="708" xr:uid="{00000000-0005-0000-0000-0000BD020000}"/>
    <cellStyle name="_Outages_Jan30_Exec Sum_0710a" xfId="709" xr:uid="{00000000-0005-0000-0000-0000BE020000}"/>
    <cellStyle name="_Outages_Jan30_Exec Sum_0711" xfId="710" xr:uid="{00000000-0005-0000-0000-0000BF020000}"/>
    <cellStyle name="_Outages_Jan30_Exec Sum_0712" xfId="711" xr:uid="{00000000-0005-0000-0000-0000C0020000}"/>
    <cellStyle name="_Outages_Jan30_Exec Sum_0713" xfId="712" xr:uid="{00000000-0005-0000-0000-0000C1020000}"/>
    <cellStyle name="_Outages_Jan30_Exec Sum_0714" xfId="713" xr:uid="{00000000-0005-0000-0000-0000C2020000}"/>
    <cellStyle name="_Outages_Jan30_Exec Sum_0715" xfId="714" xr:uid="{00000000-0005-0000-0000-0000C3020000}"/>
    <cellStyle name="_Outages_Jan30_Exec Sum_0716" xfId="715" xr:uid="{00000000-0005-0000-0000-0000C4020000}"/>
    <cellStyle name="_Outages_Jan30_Exec Sum_0717" xfId="716" xr:uid="{00000000-0005-0000-0000-0000C5020000}"/>
    <cellStyle name="_Outages_Jan30_Exec Sum_0718" xfId="717" xr:uid="{00000000-0005-0000-0000-0000C6020000}"/>
    <cellStyle name="_Outages_Jan30_Exec Sum_0719" xfId="718" xr:uid="{00000000-0005-0000-0000-0000C7020000}"/>
    <cellStyle name="_Outages_Jan30_Exec Sum_0720" xfId="719" xr:uid="{00000000-0005-0000-0000-0000C8020000}"/>
    <cellStyle name="_Outages_Jan30_Exec Sum_0721" xfId="720" xr:uid="{00000000-0005-0000-0000-0000C9020000}"/>
    <cellStyle name="_Outages_Jan30_Exec Sum_0722" xfId="721" xr:uid="{00000000-0005-0000-0000-0000CA020000}"/>
    <cellStyle name="_Outages_Jan30_Exec Sum_0723" xfId="722" xr:uid="{00000000-0005-0000-0000-0000CB020000}"/>
    <cellStyle name="_Outages_Jan30_Exec Sum_0724" xfId="723" xr:uid="{00000000-0005-0000-0000-0000CC020000}"/>
    <cellStyle name="_Outages_Jan30_Exec Sum_0725" xfId="724" xr:uid="{00000000-0005-0000-0000-0000CD020000}"/>
    <cellStyle name="_Outages_Jan30_Exec Sum_0726" xfId="725" xr:uid="{00000000-0005-0000-0000-0000CE020000}"/>
    <cellStyle name="_Outages_Jan30_Exec Sum_0727" xfId="726" xr:uid="{00000000-0005-0000-0000-0000CF020000}"/>
    <cellStyle name="_Outages_Jan30_Exec Sum_0728" xfId="727" xr:uid="{00000000-0005-0000-0000-0000D0020000}"/>
    <cellStyle name="_Outages_Jan30_Exec Sum_0729" xfId="728" xr:uid="{00000000-0005-0000-0000-0000D1020000}"/>
    <cellStyle name="_Outages_Jan30_Exec Sum_0730" xfId="729" xr:uid="{00000000-0005-0000-0000-0000D2020000}"/>
    <cellStyle name="_Outages_Jan30_Exec Sum_0731" xfId="730" xr:uid="{00000000-0005-0000-0000-0000D3020000}"/>
    <cellStyle name="_Outages_Jan30_Exec Sum_0801" xfId="731" xr:uid="{00000000-0005-0000-0000-0000D4020000}"/>
    <cellStyle name="_Outages_Jan30_Exec Sum_0802" xfId="732" xr:uid="{00000000-0005-0000-0000-0000D5020000}"/>
    <cellStyle name="_Outages_Jan30_Exec Sum_0803" xfId="733" xr:uid="{00000000-0005-0000-0000-0000D6020000}"/>
    <cellStyle name="_Outages_Jan30_Exec Sum_0804" xfId="734" xr:uid="{00000000-0005-0000-0000-0000D7020000}"/>
    <cellStyle name="_Outages_Jan30_Exec Sum_0805" xfId="735" xr:uid="{00000000-0005-0000-0000-0000D8020000}"/>
    <cellStyle name="_Outages_Jan30_Exec Sum_0806" xfId="736" xr:uid="{00000000-0005-0000-0000-0000D9020000}"/>
    <cellStyle name="_Outages_Jan30_Exec Sum_0808" xfId="737" xr:uid="{00000000-0005-0000-0000-0000DA020000}"/>
    <cellStyle name="_Outages_Jan30_Exec Sum_0809" xfId="738" xr:uid="{00000000-0005-0000-0000-0000DB020000}"/>
    <cellStyle name="_Outages_Jan30_Exec Sum_0813" xfId="739" xr:uid="{00000000-0005-0000-0000-0000DC020000}"/>
    <cellStyle name="_Outages_Jan30_Exec Sum_0814" xfId="740" xr:uid="{00000000-0005-0000-0000-0000DD020000}"/>
    <cellStyle name="_Outages_Jan30_Exec Sum_0815" xfId="741" xr:uid="{00000000-0005-0000-0000-0000DE020000}"/>
    <cellStyle name="_Outages_Jan30_Exec Sum_0816" xfId="742" xr:uid="{00000000-0005-0000-0000-0000DF020000}"/>
    <cellStyle name="_Outages_Jan30_Exec Sum_0817" xfId="743" xr:uid="{00000000-0005-0000-0000-0000E0020000}"/>
    <cellStyle name="_Outages_Jan30_Exec Sum_0818" xfId="744" xr:uid="{00000000-0005-0000-0000-0000E1020000}"/>
    <cellStyle name="_Outages_Jan30_Exec Sum_0819" xfId="745" xr:uid="{00000000-0005-0000-0000-0000E2020000}"/>
    <cellStyle name="_Outages_Jan30_Exec Sum_Tplate_0520" xfId="746" xr:uid="{00000000-0005-0000-0000-0000E3020000}"/>
    <cellStyle name="_Outages_Jan30_Exec-Sum_0505" xfId="747" xr:uid="{00000000-0005-0000-0000-0000E4020000}"/>
    <cellStyle name="_Outages_Jan30_Exec-Sum_0506" xfId="748" xr:uid="{00000000-0005-0000-0000-0000E5020000}"/>
    <cellStyle name="_Outages_Jan30_Exec-Sum_0507" xfId="749" xr:uid="{00000000-0005-0000-0000-0000E6020000}"/>
    <cellStyle name="_Outages_Jan30_Exec-Sum_0508" xfId="750" xr:uid="{00000000-0005-0000-0000-0000E7020000}"/>
    <cellStyle name="_Outages_Jan30_Exec-Sum_0511" xfId="751" xr:uid="{00000000-0005-0000-0000-0000E8020000}"/>
    <cellStyle name="_Outages_Jan30_Exec-Sum_0512" xfId="752" xr:uid="{00000000-0005-0000-0000-0000E9020000}"/>
    <cellStyle name="_Outages_Jan30_Exec-Sum_0513" xfId="753" xr:uid="{00000000-0005-0000-0000-0000EA020000}"/>
    <cellStyle name="_Outages_Jan30_Exec-Sum_0514" xfId="754" xr:uid="{00000000-0005-0000-0000-0000EB020000}"/>
    <cellStyle name="_Outages_Jan30_Exec-Sum_0515" xfId="755" xr:uid="{00000000-0005-0000-0000-0000EC020000}"/>
    <cellStyle name="_Outages_Jan30_Exec-Sum_0518" xfId="756" xr:uid="{00000000-0005-0000-0000-0000ED020000}"/>
    <cellStyle name="_Outages_Jan30_Exec-Sum_0519" xfId="757" xr:uid="{00000000-0005-0000-0000-0000EE020000}"/>
    <cellStyle name="_Outages_Jan30_Exec-Sum_0521" xfId="758" xr:uid="{00000000-0005-0000-0000-0000EF020000}"/>
    <cellStyle name="_Outages_Jan30_Exec-Sum_0523" xfId="759" xr:uid="{00000000-0005-0000-0000-0000F0020000}"/>
    <cellStyle name="_Outages_Jan30_Exec-Sum_0524" xfId="760" xr:uid="{00000000-0005-0000-0000-0000F1020000}"/>
    <cellStyle name="_Outages_Jan30_Exec-Sum_0525" xfId="761" xr:uid="{00000000-0005-0000-0000-0000F2020000}"/>
    <cellStyle name="_Outages_Jan30_Exec-Sum_0526" xfId="762" xr:uid="{00000000-0005-0000-0000-0000F3020000}"/>
    <cellStyle name="_Outages_Jan30_Exec-Sum_0527" xfId="763" xr:uid="{00000000-0005-0000-0000-0000F4020000}"/>
    <cellStyle name="_Outages_Jan30_Exec-Sum_0528" xfId="764" xr:uid="{00000000-0005-0000-0000-0000F5020000}"/>
    <cellStyle name="_Outages_Jan30_Exec-Sum_0529" xfId="765" xr:uid="{00000000-0005-0000-0000-0000F6020000}"/>
    <cellStyle name="_Outages_Jan30_Exec-Sum_0530" xfId="766" xr:uid="{00000000-0005-0000-0000-0000F7020000}"/>
    <cellStyle name="_Outages_Jan30_Exec-Sum_0531" xfId="767" xr:uid="{00000000-0005-0000-0000-0000F8020000}"/>
    <cellStyle name="_Outages_Jan30_Exec-Sum_0601" xfId="768" xr:uid="{00000000-0005-0000-0000-0000F9020000}"/>
    <cellStyle name="_Outages_Jan30_Exec-Sum_0602" xfId="769" xr:uid="{00000000-0005-0000-0000-0000FA020000}"/>
    <cellStyle name="_Outages_Jan30_Exec-Sum_0604" xfId="770" xr:uid="{00000000-0005-0000-0000-0000FB020000}"/>
    <cellStyle name="_Outages_Jan30_Exec-Sum_0605" xfId="771" xr:uid="{00000000-0005-0000-0000-0000FC020000}"/>
    <cellStyle name="_Outages_Jan30_Exec-Sum_0606" xfId="772" xr:uid="{00000000-0005-0000-0000-0000FD020000}"/>
    <cellStyle name="_Outages_Jan30_Exec-Sum_0607" xfId="773" xr:uid="{00000000-0005-0000-0000-0000FE020000}"/>
    <cellStyle name="_Outages_Jan30_Exec-Sum_0608" xfId="774" xr:uid="{00000000-0005-0000-0000-0000FF020000}"/>
    <cellStyle name="_Outages_Jan30_Exec-Sum_0609" xfId="775" xr:uid="{00000000-0005-0000-0000-000000030000}"/>
    <cellStyle name="_Outages_Jan30_Exec-Sum_0610" xfId="776" xr:uid="{00000000-0005-0000-0000-000001030000}"/>
    <cellStyle name="_Outages_Jan30_Exec-Sum_0611" xfId="777" xr:uid="{00000000-0005-0000-0000-000002030000}"/>
    <cellStyle name="_Outages_Jan30_Exec-Sum_0612" xfId="778" xr:uid="{00000000-0005-0000-0000-000003030000}"/>
    <cellStyle name="_Outages_Jan30_Exec-Sum_0613" xfId="779" xr:uid="{00000000-0005-0000-0000-000004030000}"/>
    <cellStyle name="_Outages_Jan30_Exec-Sum_0614" xfId="780" xr:uid="{00000000-0005-0000-0000-000005030000}"/>
    <cellStyle name="_Outages_Jan30_Exec-Sum_0615" xfId="781" xr:uid="{00000000-0005-0000-0000-000006030000}"/>
    <cellStyle name="_Outages_Jan30_Exec-Sum_0616" xfId="782" xr:uid="{00000000-0005-0000-0000-000007030000}"/>
    <cellStyle name="_Outages_Jan30_Exec-Sum_0617" xfId="783" xr:uid="{00000000-0005-0000-0000-000008030000}"/>
    <cellStyle name="_Outages_Jan30_Exec-Sum_0618" xfId="784" xr:uid="{00000000-0005-0000-0000-000009030000}"/>
    <cellStyle name="_Outages_Jan30_Lucent_DR_0420" xfId="785" xr:uid="{00000000-0005-0000-0000-00000A030000}"/>
    <cellStyle name="_Outages_Jan30_Lucent_DR_0421" xfId="786" xr:uid="{00000000-0005-0000-0000-00000B030000}"/>
    <cellStyle name="_Outages_Jan30_Lucent_DR_0422" xfId="787" xr:uid="{00000000-0005-0000-0000-00000C030000}"/>
    <cellStyle name="_Outages_Jan30_Lucent_DR_0424a" xfId="788" xr:uid="{00000000-0005-0000-0000-00000D030000}"/>
    <cellStyle name="_Outages_Jan30_Lucent_DR_0425" xfId="789" xr:uid="{00000000-0005-0000-0000-00000E030000}"/>
    <cellStyle name="_Outages_Jan30_Lucent_DR_0426" xfId="790" xr:uid="{00000000-0005-0000-0000-00000F030000}"/>
    <cellStyle name="_Outages_Jan30_Lucent_DR_0427" xfId="791" xr:uid="{00000000-0005-0000-0000-000010030000}"/>
    <cellStyle name="_Outages_Jan30_Lucent_DR_0428" xfId="792" xr:uid="{00000000-0005-0000-0000-000011030000}"/>
    <cellStyle name="_Outages_Jan30_Lucent_dr_0429" xfId="793" xr:uid="{00000000-0005-0000-0000-000012030000}"/>
    <cellStyle name="_Outages_Jan30_Lucent_DR_0430b" xfId="794" xr:uid="{00000000-0005-0000-0000-000013030000}"/>
    <cellStyle name="_Outages_Jan30_Lucent_DR_0501" xfId="795" xr:uid="{00000000-0005-0000-0000-000014030000}"/>
    <cellStyle name="_Outages_Jan30_Lucent_DR_0502" xfId="796" xr:uid="{00000000-0005-0000-0000-000015030000}"/>
    <cellStyle name="_Outages_Jan30_Lucent_DR_0503" xfId="797" xr:uid="{00000000-0005-0000-0000-000016030000}"/>
    <cellStyle name="_Outages_Jan30_Lucent_DR_0504" xfId="798" xr:uid="{00000000-0005-0000-0000-000017030000}"/>
    <cellStyle name="_Outages_Jan30_Lucent_DR_0505" xfId="799" xr:uid="{00000000-0005-0000-0000-000018030000}"/>
    <cellStyle name="_Outages_Jan30_Lucent_DR_0506" xfId="800" xr:uid="{00000000-0005-0000-0000-000019030000}"/>
    <cellStyle name="_Outages_Jan30_Lucent_DR_0507" xfId="801" xr:uid="{00000000-0005-0000-0000-00001A030000}"/>
    <cellStyle name="_Outages_Jan30_Lucent_DR_0508" xfId="802" xr:uid="{00000000-0005-0000-0000-00001B030000}"/>
    <cellStyle name="_Outages_Jan30_Lucent_DR_0511" xfId="803" xr:uid="{00000000-0005-0000-0000-00001C030000}"/>
    <cellStyle name="_Outages_Jan30_Lucent_DR_0512" xfId="804" xr:uid="{00000000-0005-0000-0000-00001D030000}"/>
    <cellStyle name="_Outages_Jan30_Lucent_dr_0513" xfId="805" xr:uid="{00000000-0005-0000-0000-00001E030000}"/>
    <cellStyle name="_Outages_Jan30_RF_SUMMARY_DEMO" xfId="806" xr:uid="{00000000-0005-0000-0000-00001F030000}"/>
    <cellStyle name="_Outages_Jan31" xfId="807" xr:uid="{00000000-0005-0000-0000-000020030000}"/>
    <cellStyle name="_Outages_Jan31_DR_18Apr2002" xfId="808" xr:uid="{00000000-0005-0000-0000-000021030000}"/>
    <cellStyle name="_Outages_Jan31_DR_18Apr2002_BDH_0724_dr" xfId="809" xr:uid="{00000000-0005-0000-0000-000022030000}"/>
    <cellStyle name="_Outages_Jan31_Ericsson_DR_0419" xfId="810" xr:uid="{00000000-0005-0000-0000-000023030000}"/>
    <cellStyle name="_Outages_Jan31_Ericsson_DR_0419_BDH_0724_dr" xfId="811" xr:uid="{00000000-0005-0000-0000-000024030000}"/>
    <cellStyle name="_Outages_Nov12" xfId="812" xr:uid="{00000000-0005-0000-0000-000025030000}"/>
    <cellStyle name="_Outages_Nov12_DR_18Apr2002" xfId="813" xr:uid="{00000000-0005-0000-0000-000026030000}"/>
    <cellStyle name="_Outages_Nov12_DR_18Apr2002_BDH_0724_dr" xfId="814" xr:uid="{00000000-0005-0000-0000-000027030000}"/>
    <cellStyle name="_Outages_Nov12_Ericsson_DR_0419" xfId="815" xr:uid="{00000000-0005-0000-0000-000028030000}"/>
    <cellStyle name="_Outages_Nov12_Ericsson_DR_0419_BDH_0724_dr" xfId="816" xr:uid="{00000000-0005-0000-0000-000029030000}"/>
    <cellStyle name="_Outages_Nov12_Lucent_DR_0419" xfId="817" xr:uid="{00000000-0005-0000-0000-00002A030000}"/>
    <cellStyle name="_Outages_Nov12_Lucent_DR_0419_BDH_0724_dr" xfId="818" xr:uid="{00000000-0005-0000-0000-00002B030000}"/>
    <cellStyle name="_Outages_Nov13" xfId="819" xr:uid="{00000000-0005-0000-0000-00002C030000}"/>
    <cellStyle name="_Outages_Nov13_DR_18Apr2002" xfId="820" xr:uid="{00000000-0005-0000-0000-00002D030000}"/>
    <cellStyle name="_Outages_Nov13_DR_18Apr2002_BDH_0724_dr" xfId="821" xr:uid="{00000000-0005-0000-0000-00002E030000}"/>
    <cellStyle name="_Outages_Nov13_Ericsson_DR_0419" xfId="822" xr:uid="{00000000-0005-0000-0000-00002F030000}"/>
    <cellStyle name="_Outages_Nov13_Ericsson_DR_0419_BDH_0724_dr" xfId="823" xr:uid="{00000000-0005-0000-0000-000030030000}"/>
    <cellStyle name="_Outages_Nov13_Lucent_DR_0419" xfId="824" xr:uid="{00000000-0005-0000-0000-000031030000}"/>
    <cellStyle name="_Outages_Nov13_Lucent_DR_0419_BDH_0724_dr" xfId="825" xr:uid="{00000000-0005-0000-0000-000032030000}"/>
    <cellStyle name="_Outages_Nov14" xfId="826" xr:uid="{00000000-0005-0000-0000-000033030000}"/>
    <cellStyle name="_Outages_Nov14_DR_18Apr2002" xfId="827" xr:uid="{00000000-0005-0000-0000-000034030000}"/>
    <cellStyle name="_Outages_Nov14_DR_18Apr2002_BDH_0724_dr" xfId="828" xr:uid="{00000000-0005-0000-0000-000035030000}"/>
    <cellStyle name="_Outages_Nov14_Ericsson_DR_0419" xfId="829" xr:uid="{00000000-0005-0000-0000-000036030000}"/>
    <cellStyle name="_Outages_Nov14_Ericsson_DR_0419_BDH_0724_dr" xfId="830" xr:uid="{00000000-0005-0000-0000-000037030000}"/>
    <cellStyle name="_Outages_Nov14_Lucent_DR_0419" xfId="831" xr:uid="{00000000-0005-0000-0000-000038030000}"/>
    <cellStyle name="_Outages_Nov14_Lucent_DR_0419_BDH_0724_dr" xfId="832" xr:uid="{00000000-0005-0000-0000-000039030000}"/>
    <cellStyle name="_Outages_Nov15" xfId="833" xr:uid="{00000000-0005-0000-0000-00003A030000}"/>
    <cellStyle name="_Outages_Nov15_DR_18Apr2002" xfId="834" xr:uid="{00000000-0005-0000-0000-00003B030000}"/>
    <cellStyle name="_Outages_Nov15_DR_18Apr2002_BDH_0724_dr" xfId="835" xr:uid="{00000000-0005-0000-0000-00003C030000}"/>
    <cellStyle name="_Outages_Nov15_Ericsson_DR_0419" xfId="836" xr:uid="{00000000-0005-0000-0000-00003D030000}"/>
    <cellStyle name="_Outages_Nov15_Ericsson_DR_0419_BDH_0724_dr" xfId="837" xr:uid="{00000000-0005-0000-0000-00003E030000}"/>
    <cellStyle name="_Outages_Nov15_Lucent_DR_0419" xfId="838" xr:uid="{00000000-0005-0000-0000-00003F030000}"/>
    <cellStyle name="_Outages_Nov15_Lucent_DR_0419_BDH_0724_dr" xfId="839" xr:uid="{00000000-0005-0000-0000-000040030000}"/>
    <cellStyle name="_Outages_Nov16" xfId="840" xr:uid="{00000000-0005-0000-0000-000041030000}"/>
    <cellStyle name="_Outages_Nov16_DR_18Apr2002" xfId="841" xr:uid="{00000000-0005-0000-0000-000042030000}"/>
    <cellStyle name="_Outages_Nov16_DR_18Apr2002_BDH_0724_dr" xfId="842" xr:uid="{00000000-0005-0000-0000-000043030000}"/>
    <cellStyle name="_Outages_Nov16_Ericsson_DR_0419" xfId="843" xr:uid="{00000000-0005-0000-0000-000044030000}"/>
    <cellStyle name="_Outages_Nov16_Ericsson_DR_0419_BDH_0724_dr" xfId="844" xr:uid="{00000000-0005-0000-0000-000045030000}"/>
    <cellStyle name="_Outages_Nov16_Lucent_DR_0419" xfId="845" xr:uid="{00000000-0005-0000-0000-000046030000}"/>
    <cellStyle name="_Outages_Nov16_Lucent_DR_0419_BDH_0724_dr" xfId="846" xr:uid="{00000000-0005-0000-0000-000047030000}"/>
    <cellStyle name="_Outages_Nov18" xfId="847" xr:uid="{00000000-0005-0000-0000-000048030000}"/>
    <cellStyle name="_Outages_Nov18_DR_18Apr2002" xfId="848" xr:uid="{00000000-0005-0000-0000-000049030000}"/>
    <cellStyle name="_Outages_Nov18_DR_18Apr2002_BDH_0724_dr" xfId="849" xr:uid="{00000000-0005-0000-0000-00004A030000}"/>
    <cellStyle name="_Outages_Nov18_Ericsson_DR_0419" xfId="850" xr:uid="{00000000-0005-0000-0000-00004B030000}"/>
    <cellStyle name="_Outages_Nov18_Ericsson_DR_0419_BDH_0724_dr" xfId="851" xr:uid="{00000000-0005-0000-0000-00004C030000}"/>
    <cellStyle name="_Outages_Nov18_Lucent_DR_0419" xfId="852" xr:uid="{00000000-0005-0000-0000-00004D030000}"/>
    <cellStyle name="_Outages_Nov18_Lucent_DR_0419_BDH_0724_dr" xfId="853" xr:uid="{00000000-0005-0000-0000-00004E030000}"/>
    <cellStyle name="_Outages_Nov21" xfId="854" xr:uid="{00000000-0005-0000-0000-00004F030000}"/>
    <cellStyle name="_Outages_Nov21_DR_18Apr2002" xfId="855" xr:uid="{00000000-0005-0000-0000-000050030000}"/>
    <cellStyle name="_Outages_Nov21_DR_18Apr2002_BDH_0724_dr" xfId="856" xr:uid="{00000000-0005-0000-0000-000051030000}"/>
    <cellStyle name="_Outages_Nov21_Ericsson_DR_0419" xfId="857" xr:uid="{00000000-0005-0000-0000-000052030000}"/>
    <cellStyle name="_Outages_Nov21_Ericsson_DR_0419_BDH_0724_dr" xfId="858" xr:uid="{00000000-0005-0000-0000-000053030000}"/>
    <cellStyle name="_Outages_Nov21_Lucent_DR_0419" xfId="859" xr:uid="{00000000-0005-0000-0000-000054030000}"/>
    <cellStyle name="_Outages_Nov21_Lucent_DR_0419_BDH_0724_dr" xfId="860" xr:uid="{00000000-0005-0000-0000-000055030000}"/>
    <cellStyle name="_Outages_Nov22" xfId="861" xr:uid="{00000000-0005-0000-0000-000056030000}"/>
    <cellStyle name="_Outages_Nov22_DR_18Apr2002" xfId="862" xr:uid="{00000000-0005-0000-0000-000057030000}"/>
    <cellStyle name="_Outages_Nov22_DR_18Apr2002_BDH_0724_dr" xfId="863" xr:uid="{00000000-0005-0000-0000-000058030000}"/>
    <cellStyle name="_Outages_Nov22_Ericsson_DR_0419" xfId="864" xr:uid="{00000000-0005-0000-0000-000059030000}"/>
    <cellStyle name="_Outages_Nov22_Ericsson_DR_0419_BDH_0724_dr" xfId="865" xr:uid="{00000000-0005-0000-0000-00005A030000}"/>
    <cellStyle name="_Outages_Nov22_Lucent_DR_0419" xfId="866" xr:uid="{00000000-0005-0000-0000-00005B030000}"/>
    <cellStyle name="_Outages_Nov22_Lucent_DR_0419_BDH_0724_dr" xfId="867" xr:uid="{00000000-0005-0000-0000-00005C030000}"/>
    <cellStyle name="_Outages_Nov23" xfId="868" xr:uid="{00000000-0005-0000-0000-00005D030000}"/>
    <cellStyle name="_Outages_Nov23_DR_18Apr2002" xfId="869" xr:uid="{00000000-0005-0000-0000-00005E030000}"/>
    <cellStyle name="_Outages_Nov23_DR_18Apr2002_BDH_0724_dr" xfId="870" xr:uid="{00000000-0005-0000-0000-00005F030000}"/>
    <cellStyle name="_Outages_Nov23_Ericsson_DR_0419" xfId="871" xr:uid="{00000000-0005-0000-0000-000060030000}"/>
    <cellStyle name="_Outages_Nov23_Ericsson_DR_0419_BDH_0724_dr" xfId="872" xr:uid="{00000000-0005-0000-0000-000061030000}"/>
    <cellStyle name="_Outages_Nov23_Lucent_DR_0419" xfId="873" xr:uid="{00000000-0005-0000-0000-000062030000}"/>
    <cellStyle name="_Outages_Nov23_Lucent_DR_0419_BDH_0724_dr" xfId="874" xr:uid="{00000000-0005-0000-0000-000063030000}"/>
    <cellStyle name="_Outages_Nov24" xfId="875" xr:uid="{00000000-0005-0000-0000-000064030000}"/>
    <cellStyle name="_Outages_Nov24_DR_18Apr2002" xfId="876" xr:uid="{00000000-0005-0000-0000-000065030000}"/>
    <cellStyle name="_Outages_Nov24_DR_18Apr2002_BDH_0724_dr" xfId="877" xr:uid="{00000000-0005-0000-0000-000066030000}"/>
    <cellStyle name="_Outages_Nov24_Ericsson_DR_0419" xfId="878" xr:uid="{00000000-0005-0000-0000-000067030000}"/>
    <cellStyle name="_Outages_Nov24_Ericsson_DR_0419_BDH_0724_dr" xfId="879" xr:uid="{00000000-0005-0000-0000-000068030000}"/>
    <cellStyle name="_Outages_Nov24_Lucent_DR_0419" xfId="880" xr:uid="{00000000-0005-0000-0000-000069030000}"/>
    <cellStyle name="_Outages_Nov24_Lucent_DR_0419_BDH_0724_dr" xfId="881" xr:uid="{00000000-0005-0000-0000-00006A030000}"/>
    <cellStyle name="_Outages_Nov25" xfId="882" xr:uid="{00000000-0005-0000-0000-00006B030000}"/>
    <cellStyle name="_Outages_Nov25_DR_18Apr2002" xfId="883" xr:uid="{00000000-0005-0000-0000-00006C030000}"/>
    <cellStyle name="_Outages_Nov25_DR_18Apr2002_BDH_0724_dr" xfId="884" xr:uid="{00000000-0005-0000-0000-00006D030000}"/>
    <cellStyle name="_Outages_Nov25_Ericsson_DR_0419" xfId="885" xr:uid="{00000000-0005-0000-0000-00006E030000}"/>
    <cellStyle name="_Outages_Nov25_Ericsson_DR_0419_BDH_0724_dr" xfId="886" xr:uid="{00000000-0005-0000-0000-00006F030000}"/>
    <cellStyle name="_Outages_Nov25_Lucent_DR_0419" xfId="887" xr:uid="{00000000-0005-0000-0000-000070030000}"/>
    <cellStyle name="_Outages_Nov25_Lucent_DR_0419_BDH_0724_dr" xfId="888" xr:uid="{00000000-0005-0000-0000-000071030000}"/>
    <cellStyle name="_Outages_Nov26" xfId="889" xr:uid="{00000000-0005-0000-0000-000072030000}"/>
    <cellStyle name="_Outages_Nov26_DR_18Apr2002" xfId="890" xr:uid="{00000000-0005-0000-0000-000073030000}"/>
    <cellStyle name="_Outages_Nov26_DR_18Apr2002_BDH_0724_dr" xfId="891" xr:uid="{00000000-0005-0000-0000-000074030000}"/>
    <cellStyle name="_Outages_Nov26_Ericsson_DR_0419" xfId="892" xr:uid="{00000000-0005-0000-0000-000075030000}"/>
    <cellStyle name="_Outages_Nov26_Ericsson_DR_0419_BDH_0724_dr" xfId="893" xr:uid="{00000000-0005-0000-0000-000076030000}"/>
    <cellStyle name="_Outages_Nov26_Lucent_DR_0419" xfId="894" xr:uid="{00000000-0005-0000-0000-000077030000}"/>
    <cellStyle name="_Outages_Nov26_Lucent_DR_0419_BDH_0724_dr" xfId="895" xr:uid="{00000000-0005-0000-0000-000078030000}"/>
    <cellStyle name="_Outages_Nov27" xfId="896" xr:uid="{00000000-0005-0000-0000-000079030000}"/>
    <cellStyle name="_Outages_Nov27_DR_18Apr2002" xfId="897" xr:uid="{00000000-0005-0000-0000-00007A030000}"/>
    <cellStyle name="_Outages_Nov27_DR_18Apr2002_BDH_0724_dr" xfId="898" xr:uid="{00000000-0005-0000-0000-00007B030000}"/>
    <cellStyle name="_Outages_Nov27_Ericsson_DR_0419" xfId="899" xr:uid="{00000000-0005-0000-0000-00007C030000}"/>
    <cellStyle name="_Outages_Nov27_Ericsson_DR_0419_BDH_0724_dr" xfId="900" xr:uid="{00000000-0005-0000-0000-00007D030000}"/>
    <cellStyle name="_Outages_Nov27_Lucent_DR_0419" xfId="901" xr:uid="{00000000-0005-0000-0000-00007E030000}"/>
    <cellStyle name="_Outages_Nov27_Lucent_DR_0419_BDH_0724_dr" xfId="902" xr:uid="{00000000-0005-0000-0000-00007F030000}"/>
    <cellStyle name="_Outages_Nov28" xfId="903" xr:uid="{00000000-0005-0000-0000-000080030000}"/>
    <cellStyle name="_Outages_Nov28_DR_18Apr2002" xfId="904" xr:uid="{00000000-0005-0000-0000-000081030000}"/>
    <cellStyle name="_Outages_Nov28_DR_18Apr2002_BDH_0724_dr" xfId="905" xr:uid="{00000000-0005-0000-0000-000082030000}"/>
    <cellStyle name="_Outages_Nov28_Ericsson_DR_0419" xfId="906" xr:uid="{00000000-0005-0000-0000-000083030000}"/>
    <cellStyle name="_Outages_Nov28_Ericsson_DR_0419_BDH_0724_dr" xfId="907" xr:uid="{00000000-0005-0000-0000-000084030000}"/>
    <cellStyle name="_Outages_Nov28_Lucent_DR_0419" xfId="908" xr:uid="{00000000-0005-0000-0000-000085030000}"/>
    <cellStyle name="_Outages_Nov28_Lucent_DR_0419_BDH_0724_dr" xfId="909" xr:uid="{00000000-0005-0000-0000-000086030000}"/>
    <cellStyle name="_Outages_Nov29" xfId="910" xr:uid="{00000000-0005-0000-0000-000087030000}"/>
    <cellStyle name="_Outages_Nov29_DR_18Apr2002" xfId="911" xr:uid="{00000000-0005-0000-0000-000088030000}"/>
    <cellStyle name="_Outages_Nov29_DR_18Apr2002_BDH_0724_dr" xfId="912" xr:uid="{00000000-0005-0000-0000-000089030000}"/>
    <cellStyle name="_Outages_Nov29_Ericsson_DR_0419" xfId="913" xr:uid="{00000000-0005-0000-0000-00008A030000}"/>
    <cellStyle name="_Outages_Nov29_Ericsson_DR_0419_BDH_0724_dr" xfId="914" xr:uid="{00000000-0005-0000-0000-00008B030000}"/>
    <cellStyle name="_Outages_Nov29_Lucent_DR_0419" xfId="915" xr:uid="{00000000-0005-0000-0000-00008C030000}"/>
    <cellStyle name="_Outages_Nov29_Lucent_DR_0419_BDH_0724_dr" xfId="916" xr:uid="{00000000-0005-0000-0000-00008D030000}"/>
    <cellStyle name="_Outages_Nov30" xfId="917" xr:uid="{00000000-0005-0000-0000-00008E030000}"/>
    <cellStyle name="_Outages_Nov30_DR_18Apr2002" xfId="918" xr:uid="{00000000-0005-0000-0000-00008F030000}"/>
    <cellStyle name="_Outages_Nov30_DR_18Apr2002_BDH_0724_dr" xfId="919" xr:uid="{00000000-0005-0000-0000-000090030000}"/>
    <cellStyle name="_Outages_Nov30_Ericsson_DR_0419" xfId="920" xr:uid="{00000000-0005-0000-0000-000091030000}"/>
    <cellStyle name="_Outages_Nov30_Ericsson_DR_0419_BDH_0724_dr" xfId="921" xr:uid="{00000000-0005-0000-0000-000092030000}"/>
    <cellStyle name="_Outages_Nov30_Lucent_DR_0419" xfId="922" xr:uid="{00000000-0005-0000-0000-000093030000}"/>
    <cellStyle name="_Outages_Nov30_Lucent_DR_0419_BDH_0724_dr" xfId="923" xr:uid="{00000000-0005-0000-0000-000094030000}"/>
    <cellStyle name="_Outages1111_NwFmt" xfId="924" xr:uid="{00000000-0005-0000-0000-000095030000}"/>
    <cellStyle name="_Outages1111_NwFmt_DR_18Apr2002" xfId="925" xr:uid="{00000000-0005-0000-0000-000096030000}"/>
    <cellStyle name="_Outages1111_NwFmt_DR_18Apr2002_BDH_0724_dr" xfId="926" xr:uid="{00000000-0005-0000-0000-000097030000}"/>
    <cellStyle name="_Outages1111_NwFmt_Ericsson_DR_0419" xfId="927" xr:uid="{00000000-0005-0000-0000-000098030000}"/>
    <cellStyle name="_Outages1111_NwFmt_Ericsson_DR_0419_BDH_0724_dr" xfId="928" xr:uid="{00000000-0005-0000-0000-000099030000}"/>
    <cellStyle name="_Outages1111_NwFmt_Lucent_DR_0419" xfId="929" xr:uid="{00000000-0005-0000-0000-00009A030000}"/>
    <cellStyle name="_Outages1111_NwFmt_Lucent_DR_0419_BDH_0724_dr" xfId="930" xr:uid="{00000000-0005-0000-0000-00009B030000}"/>
    <cellStyle name="0,0_x000a__x000a_NA_x000a__x000a_" xfId="931" xr:uid="{00000000-0005-0000-0000-00009C030000}"/>
    <cellStyle name="0,0_x000d__x000a_NA_x000d__x000a_" xfId="932" xr:uid="{00000000-0005-0000-0000-00009D030000}"/>
    <cellStyle name="Comma [0] 2" xfId="933" xr:uid="{00000000-0005-0000-0000-00009E030000}"/>
    <cellStyle name="Comma 2" xfId="934" xr:uid="{00000000-0005-0000-0000-00009F030000}"/>
    <cellStyle name="Comma 3" xfId="935" xr:uid="{00000000-0005-0000-0000-0000A0030000}"/>
    <cellStyle name="Date" xfId="936" xr:uid="{00000000-0005-0000-0000-0000A1030000}"/>
    <cellStyle name="Grey" xfId="1" xr:uid="{00000000-0005-0000-0000-0000A2030000}"/>
    <cellStyle name="Hyperlink 2" xfId="937" xr:uid="{00000000-0005-0000-0000-0000A3030000}"/>
    <cellStyle name="Input [yellow]" xfId="2" xr:uid="{00000000-0005-0000-0000-0000A4030000}"/>
    <cellStyle name="no dec" xfId="938" xr:uid="{00000000-0005-0000-0000-0000A5030000}"/>
    <cellStyle name="Normal" xfId="0" builtinId="0"/>
    <cellStyle name="Normal - Style1" xfId="3" xr:uid="{00000000-0005-0000-0000-0000A7030000}"/>
    <cellStyle name="Normal 10" xfId="939" xr:uid="{00000000-0005-0000-0000-0000A8030000}"/>
    <cellStyle name="Normal 11" xfId="940" xr:uid="{00000000-0005-0000-0000-0000A9030000}"/>
    <cellStyle name="Normal 12" xfId="941" xr:uid="{00000000-0005-0000-0000-0000AA030000}"/>
    <cellStyle name="Normal 13" xfId="942" xr:uid="{00000000-0005-0000-0000-0000AB030000}"/>
    <cellStyle name="Normal 14" xfId="943" xr:uid="{00000000-0005-0000-0000-0000AC030000}"/>
    <cellStyle name="Normal 15" xfId="944" xr:uid="{00000000-0005-0000-0000-0000AD030000}"/>
    <cellStyle name="Normal 16" xfId="945" xr:uid="{00000000-0005-0000-0000-0000AE030000}"/>
    <cellStyle name="Normal 17" xfId="946" xr:uid="{00000000-0005-0000-0000-0000AF030000}"/>
    <cellStyle name="Normal 18" xfId="947" xr:uid="{00000000-0005-0000-0000-0000B0030000}"/>
    <cellStyle name="Normal 18 2" xfId="948" xr:uid="{00000000-0005-0000-0000-0000B1030000}"/>
    <cellStyle name="Normal 19" xfId="986" xr:uid="{A0A39E7C-9078-4A8B-931A-E43E0C0B27D4}"/>
    <cellStyle name="Normal 2" xfId="4" xr:uid="{00000000-0005-0000-0000-0000B2030000}"/>
    <cellStyle name="Normal 2 2" xfId="949" xr:uid="{00000000-0005-0000-0000-0000B3030000}"/>
    <cellStyle name="Normal 2 2 2" xfId="950" xr:uid="{00000000-0005-0000-0000-0000B4030000}"/>
    <cellStyle name="Normal 2 2 3" xfId="951" xr:uid="{00000000-0005-0000-0000-0000B5030000}"/>
    <cellStyle name="Normal 2 2 4" xfId="952" xr:uid="{00000000-0005-0000-0000-0000B6030000}"/>
    <cellStyle name="Normal 2 3" xfId="953" xr:uid="{00000000-0005-0000-0000-0000B7030000}"/>
    <cellStyle name="Normal 2 4" xfId="954" xr:uid="{00000000-0005-0000-0000-0000B8030000}"/>
    <cellStyle name="Normal 2 5" xfId="955" xr:uid="{00000000-0005-0000-0000-0000B9030000}"/>
    <cellStyle name="Normal 2 6" xfId="985" xr:uid="{A1E75DFA-FC34-4727-8A7D-7D8A6D2CDD5F}"/>
    <cellStyle name="Normal 20" xfId="956" xr:uid="{00000000-0005-0000-0000-0000BA030000}"/>
    <cellStyle name="Normal 23" xfId="957" xr:uid="{00000000-0005-0000-0000-0000BB030000}"/>
    <cellStyle name="Normal 24" xfId="958" xr:uid="{00000000-0005-0000-0000-0000BC030000}"/>
    <cellStyle name="Normal 25" xfId="959" xr:uid="{00000000-0005-0000-0000-0000BD030000}"/>
    <cellStyle name="Normal 27" xfId="960" xr:uid="{00000000-0005-0000-0000-0000BE030000}"/>
    <cellStyle name="Normal 29" xfId="961" xr:uid="{00000000-0005-0000-0000-0000BF030000}"/>
    <cellStyle name="Normal 3" xfId="962" xr:uid="{00000000-0005-0000-0000-0000C0030000}"/>
    <cellStyle name="Normal 3 2" xfId="963" xr:uid="{00000000-0005-0000-0000-0000C1030000}"/>
    <cellStyle name="Normal 30" xfId="964" xr:uid="{00000000-0005-0000-0000-0000C2030000}"/>
    <cellStyle name="Normal 31" xfId="965" xr:uid="{00000000-0005-0000-0000-0000C3030000}"/>
    <cellStyle name="Normal 32" xfId="966" xr:uid="{00000000-0005-0000-0000-0000C4030000}"/>
    <cellStyle name="Normal 33" xfId="967" xr:uid="{00000000-0005-0000-0000-0000C5030000}"/>
    <cellStyle name="Normal 34" xfId="968" xr:uid="{00000000-0005-0000-0000-0000C6030000}"/>
    <cellStyle name="Normal 35" xfId="969" xr:uid="{00000000-0005-0000-0000-0000C7030000}"/>
    <cellStyle name="Normal 36" xfId="970" xr:uid="{00000000-0005-0000-0000-0000C8030000}"/>
    <cellStyle name="Normal 37" xfId="971" xr:uid="{00000000-0005-0000-0000-0000C9030000}"/>
    <cellStyle name="Normal 4" xfId="972" xr:uid="{00000000-0005-0000-0000-0000CA030000}"/>
    <cellStyle name="Normal 4 2" xfId="973" xr:uid="{00000000-0005-0000-0000-0000CB030000}"/>
    <cellStyle name="Normal 5" xfId="974" xr:uid="{00000000-0005-0000-0000-0000CC030000}"/>
    <cellStyle name="Normal 6" xfId="975" xr:uid="{00000000-0005-0000-0000-0000CD030000}"/>
    <cellStyle name="Normal 7" xfId="976" xr:uid="{00000000-0005-0000-0000-0000CE030000}"/>
    <cellStyle name="Normal 8" xfId="977" xr:uid="{00000000-0005-0000-0000-0000CF030000}"/>
    <cellStyle name="Normal 9" xfId="978" xr:uid="{00000000-0005-0000-0000-0000D0030000}"/>
    <cellStyle name="Percent [2]" xfId="5" xr:uid="{00000000-0005-0000-0000-0000D1030000}"/>
    <cellStyle name="Percent 2" xfId="979" xr:uid="{00000000-0005-0000-0000-0000D2030000}"/>
    <cellStyle name="Percent 3" xfId="980" xr:uid="{00000000-0005-0000-0000-0000D3030000}"/>
    <cellStyle name="Percent 3 2" xfId="981" xr:uid="{00000000-0005-0000-0000-0000D4030000}"/>
    <cellStyle name="PSChar" xfId="982" xr:uid="{00000000-0005-0000-0000-0000D5030000}"/>
    <cellStyle name="PSHeading" xfId="983" xr:uid="{00000000-0005-0000-0000-0000D6030000}"/>
    <cellStyle name="Style 1" xfId="984" xr:uid="{00000000-0005-0000-0000-0000D7030000}"/>
    <cellStyle name="Times New Roman" xfId="6" xr:uid="{00000000-0005-0000-0000-0000D8030000}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8.xml"/><Relationship Id="rId39" Type="http://schemas.openxmlformats.org/officeDocument/2006/relationships/externalLink" Target="externalLinks/externalLink21.xml"/><Relationship Id="rId21" Type="http://schemas.openxmlformats.org/officeDocument/2006/relationships/externalLink" Target="externalLinks/externalLink3.xml"/><Relationship Id="rId34" Type="http://schemas.openxmlformats.org/officeDocument/2006/relationships/externalLink" Target="externalLinks/externalLink16.xml"/><Relationship Id="rId42" Type="http://schemas.openxmlformats.org/officeDocument/2006/relationships/externalLink" Target="externalLinks/externalLink24.xml"/><Relationship Id="rId47" Type="http://schemas.openxmlformats.org/officeDocument/2006/relationships/externalLink" Target="externalLinks/externalLink29.xml"/><Relationship Id="rId50" Type="http://schemas.openxmlformats.org/officeDocument/2006/relationships/externalLink" Target="externalLinks/externalLink32.xml"/><Relationship Id="rId55" Type="http://schemas.openxmlformats.org/officeDocument/2006/relationships/externalLink" Target="externalLinks/externalLink3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1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32" Type="http://schemas.openxmlformats.org/officeDocument/2006/relationships/externalLink" Target="externalLinks/externalLink14.xml"/><Relationship Id="rId37" Type="http://schemas.openxmlformats.org/officeDocument/2006/relationships/externalLink" Target="externalLinks/externalLink19.xml"/><Relationship Id="rId40" Type="http://schemas.openxmlformats.org/officeDocument/2006/relationships/externalLink" Target="externalLinks/externalLink22.xml"/><Relationship Id="rId45" Type="http://schemas.openxmlformats.org/officeDocument/2006/relationships/externalLink" Target="externalLinks/externalLink27.xml"/><Relationship Id="rId53" Type="http://schemas.openxmlformats.org/officeDocument/2006/relationships/externalLink" Target="externalLinks/externalLink35.xml"/><Relationship Id="rId58" Type="http://schemas.openxmlformats.org/officeDocument/2006/relationships/externalLink" Target="externalLinks/externalLink40.xml"/><Relationship Id="rId5" Type="http://schemas.openxmlformats.org/officeDocument/2006/relationships/worksheet" Target="worksheets/sheet5.xml"/><Relationship Id="rId61" Type="http://schemas.openxmlformats.org/officeDocument/2006/relationships/sharedStrings" Target="sharedStrings.xml"/><Relationship Id="rId19" Type="http://schemas.openxmlformats.org/officeDocument/2006/relationships/externalLink" Target="externalLinks/externalLink1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externalLink" Target="externalLinks/externalLink9.xml"/><Relationship Id="rId30" Type="http://schemas.openxmlformats.org/officeDocument/2006/relationships/externalLink" Target="externalLinks/externalLink12.xml"/><Relationship Id="rId35" Type="http://schemas.openxmlformats.org/officeDocument/2006/relationships/externalLink" Target="externalLinks/externalLink17.xml"/><Relationship Id="rId43" Type="http://schemas.openxmlformats.org/officeDocument/2006/relationships/externalLink" Target="externalLinks/externalLink25.xml"/><Relationship Id="rId48" Type="http://schemas.openxmlformats.org/officeDocument/2006/relationships/externalLink" Target="externalLinks/externalLink30.xml"/><Relationship Id="rId56" Type="http://schemas.openxmlformats.org/officeDocument/2006/relationships/externalLink" Target="externalLinks/externalLink38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3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7.xml"/><Relationship Id="rId33" Type="http://schemas.openxmlformats.org/officeDocument/2006/relationships/externalLink" Target="externalLinks/externalLink15.xml"/><Relationship Id="rId38" Type="http://schemas.openxmlformats.org/officeDocument/2006/relationships/externalLink" Target="externalLinks/externalLink20.xml"/><Relationship Id="rId46" Type="http://schemas.openxmlformats.org/officeDocument/2006/relationships/externalLink" Target="externalLinks/externalLink28.xml"/><Relationship Id="rId59" Type="http://schemas.openxmlformats.org/officeDocument/2006/relationships/theme" Target="theme/theme1.xml"/><Relationship Id="rId20" Type="http://schemas.openxmlformats.org/officeDocument/2006/relationships/externalLink" Target="externalLinks/externalLink2.xml"/><Relationship Id="rId41" Type="http://schemas.openxmlformats.org/officeDocument/2006/relationships/externalLink" Target="externalLinks/externalLink23.xml"/><Relationship Id="rId54" Type="http://schemas.openxmlformats.org/officeDocument/2006/relationships/externalLink" Target="externalLinks/externalLink36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externalLink" Target="externalLinks/externalLink10.xml"/><Relationship Id="rId36" Type="http://schemas.openxmlformats.org/officeDocument/2006/relationships/externalLink" Target="externalLinks/externalLink18.xml"/><Relationship Id="rId49" Type="http://schemas.openxmlformats.org/officeDocument/2006/relationships/externalLink" Target="externalLinks/externalLink31.xml"/><Relationship Id="rId57" Type="http://schemas.openxmlformats.org/officeDocument/2006/relationships/externalLink" Target="externalLinks/externalLink39.xml"/><Relationship Id="rId10" Type="http://schemas.openxmlformats.org/officeDocument/2006/relationships/worksheet" Target="worksheets/sheet10.xml"/><Relationship Id="rId31" Type="http://schemas.openxmlformats.org/officeDocument/2006/relationships/externalLink" Target="externalLinks/externalLink13.xml"/><Relationship Id="rId44" Type="http://schemas.openxmlformats.org/officeDocument/2006/relationships/externalLink" Target="externalLinks/externalLink26.xml"/><Relationship Id="rId52" Type="http://schemas.openxmlformats.org/officeDocument/2006/relationships/externalLink" Target="externalLinks/externalLink34.xml"/><Relationship Id="rId6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emf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104773</xdr:colOff>
      <xdr:row>0</xdr:row>
      <xdr:rowOff>66675</xdr:rowOff>
    </xdr:from>
    <xdr:to>
      <xdr:col>4</xdr:col>
      <xdr:colOff>200024</xdr:colOff>
      <xdr:row>2</xdr:row>
      <xdr:rowOff>142875</xdr:rowOff>
    </xdr:to>
    <xdr:pic>
      <xdr:nvPicPr>
        <xdr:cNvPr id="2" name="Picture 3" descr="Signature Protelindo Logo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4773" y="66675"/>
          <a:ext cx="1238251" cy="485775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103716</xdr:colOff>
      <xdr:row>0</xdr:row>
      <xdr:rowOff>93134</xdr:rowOff>
    </xdr:from>
    <xdr:to>
      <xdr:col>3</xdr:col>
      <xdr:colOff>603250</xdr:colOff>
      <xdr:row>1</xdr:row>
      <xdr:rowOff>365125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30397B-9ECD-4C63-9C1F-C82BD862A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16" y="93134"/>
          <a:ext cx="1960034" cy="663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C47F55DE-70A8-44B3-A3D2-2A66FA38E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297432-9BB6-4285-930F-B91A40CE934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EB543215-FDC2-4E59-86FD-FB63B3784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E932E50-4DCF-4341-A912-D2A4E9A0A71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5043E670-8E24-4419-B67D-1BE81D1F2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432334-1A9A-4A81-8B13-A5F50E6BD8DA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7365DF97-72F6-4BEF-A7D4-47821B31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BE34683-C62B-4E88-89B2-78140587F7B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EA88D3D8-5237-47BD-AAFE-C46288FA7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DBC5AD-E706-4BD2-AAC8-1F4CA760D7E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BC55BF61-C482-40FE-B7D5-42529991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488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4D1FD7B-A406-4A47-855E-67695C83B629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66469</xdr:colOff>
      <xdr:row>0</xdr:row>
      <xdr:rowOff>105833</xdr:rowOff>
    </xdr:from>
    <xdr:to>
      <xdr:col>1</xdr:col>
      <xdr:colOff>877747</xdr:colOff>
      <xdr:row>2</xdr:row>
      <xdr:rowOff>25042</xdr:rowOff>
    </xdr:to>
    <xdr:pic>
      <xdr:nvPicPr>
        <xdr:cNvPr id="87" name="Picture 40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66469" y="105833"/>
          <a:ext cx="1424191" cy="40788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891561</xdr:colOff>
      <xdr:row>0</xdr:row>
      <xdr:rowOff>37367</xdr:rowOff>
    </xdr:from>
    <xdr:to>
      <xdr:col>10</xdr:col>
      <xdr:colOff>688361</xdr:colOff>
      <xdr:row>2</xdr:row>
      <xdr:rowOff>257077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2584B2B-7004-4A31-8408-931AF3BEFF82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196861" y="37367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158750</xdr:colOff>
      <xdr:row>0</xdr:row>
      <xdr:rowOff>134882</xdr:rowOff>
    </xdr:from>
    <xdr:to>
      <xdr:col>1</xdr:col>
      <xdr:colOff>952500</xdr:colOff>
      <xdr:row>2</xdr:row>
      <xdr:rowOff>97950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0F036109-399D-4EF9-9871-E6EFC997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58750" y="134882"/>
          <a:ext cx="1403350" cy="43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083C113-8563-4FDE-860C-70065F31EAFC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168275</xdr:colOff>
      <xdr:row>0</xdr:row>
      <xdr:rowOff>138057</xdr:rowOff>
    </xdr:from>
    <xdr:to>
      <xdr:col>1</xdr:col>
      <xdr:colOff>952500</xdr:colOff>
      <xdr:row>2</xdr:row>
      <xdr:rowOff>101125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089759DC-5BE6-45FD-B02A-8B1204B7C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68275" y="138057"/>
          <a:ext cx="1393825" cy="4393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003D60F-73DE-4EFB-9C9B-42B2A8E8628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51954</xdr:colOff>
      <xdr:row>0</xdr:row>
      <xdr:rowOff>176647</xdr:rowOff>
    </xdr:from>
    <xdr:to>
      <xdr:col>1</xdr:col>
      <xdr:colOff>876300</xdr:colOff>
      <xdr:row>2</xdr:row>
      <xdr:rowOff>68580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F7B4A530-F980-4B5B-B5FD-225733F93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51954" y="176647"/>
          <a:ext cx="1433946" cy="371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0</xdr:col>
      <xdr:colOff>449580</xdr:colOff>
      <xdr:row>20</xdr:row>
      <xdr:rowOff>144780</xdr:rowOff>
    </xdr:from>
    <xdr:ext cx="2699331" cy="67604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1CFB5DB-24A5-60B7-F5B8-9AF01AE53ADD}"/>
            </a:ext>
          </a:extLst>
        </xdr:cNvPr>
        <xdr:cNvSpPr txBox="1"/>
      </xdr:nvSpPr>
      <xdr:spPr>
        <a:xfrm>
          <a:off x="449580" y="4122420"/>
          <a:ext cx="2699331" cy="6760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endParaRPr lang="en-ID" sz="800" kern="1200">
            <a:solidFill>
              <a:schemeClr val="bg1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6ECFA8E-2D91-4919-9A69-9304C0F8C997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21097</xdr:rowOff>
    </xdr:from>
    <xdr:to>
      <xdr:col>2</xdr:col>
      <xdr:colOff>4269</xdr:colOff>
      <xdr:row>2</xdr:row>
      <xdr:rowOff>167224</xdr:rowOff>
    </xdr:to>
    <xdr:pic>
      <xdr:nvPicPr>
        <xdr:cNvPr id="4" name="Picture 40">
          <a:extLst>
            <a:ext uri="{FF2B5EF4-FFF2-40B4-BE49-F238E27FC236}">
              <a16:creationId xmlns:a16="http://schemas.microsoft.com/office/drawing/2014/main" id="{F4ACB759-24F2-44F3-A0F2-230BC81F5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11597"/>
          <a:ext cx="1555483" cy="445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0</xdr:row>
      <xdr:rowOff>38100</xdr:rowOff>
    </xdr:from>
    <xdr:to>
      <xdr:col>10</xdr:col>
      <xdr:colOff>692150</xdr:colOff>
      <xdr:row>2</xdr:row>
      <xdr:rowOff>257810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CC45F8A6-4442-42AD-8EB2-03BB0BA6072E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00650" y="38100"/>
          <a:ext cx="1387475" cy="705485"/>
        </a:xfrm>
        <a:prstGeom prst="rect">
          <a:avLst/>
        </a:prstGeom>
        <a:solidFill>
          <a:srgbClr val="FFFFFF"/>
        </a:solidFill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2001\AMBASADOR\BQ-10%20MECH%2010-11-20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TEMPO\lintec-sumicon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User\d\m-form\BQ-FOR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Tuban\Trans_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PENAWARAN-2005\Mto-2005\Indosat%202005\FABRIKASI\70m%20Med\Tower%2070%20Meter%20Medium%20-%20WO%20420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Lain-Lain\Email\Material%20Hilang%20Gn.%20Matamani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Makasar\PO\New%20PO%202009\Site_List_Template_%20PO_CME_Sulmalirja%23_2009_65_site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dataku\buku%20maxikom\RAB%20dg%20Excel%202002%20untuk%20Orang%20Awam\bab2\lat-bab2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ORRA1\Project%2000&amp;02\02\02\bqprice\Me-prc\Daf%20No.6%20Cctv-oke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Lain-Lain\Email\Bab%2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icing%20for%20Civil%20Works-March%202002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ida08195\LOCALS~1\Temp\TKS_BSCConfig_Reboundary_Sm2_2002%20mid%20Java%20w%20Reg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Procurement%20Time\MoM%20NSN\Site_List_Proposal_%20PO_CME_2009_newformat_Kalimantan_FINAL%20(3%20Aug%2009)%20xls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udget\TSEL2004\Budget%202004\Borobudur%20Files\Budget2004\Up%20Load%20Oracle\Up%20Load%20Oracle%202004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OCUME~1\ida07602\LOCALS~1\Temp\TKS_BSCConfig_Reboundary_Sm2%20BaliNusra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2001\ITC_Bandung\ITC_BDG_Mechanical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216a\GrpISA-OSP\TKS\Program%20Management\Project%20Implementation\BSS\TTP%20-%20TTR%20-%20BAST%20I%20-%20BAST%20II\Acceptance%20Register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Site%20list%20&amp;%20konf.%20data%20rev_220102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TKS\TINEM%201st%2018%20months%20Expansion%20Program\Collection%20Pricing%20for%20TINEM\SSS\MSC%20Expansion%20Prog\version_b\01.07.05%20SSS%20Balikpapan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WINDOWS\TEMP\IncrediMail\CF-BQ-ME.AL-AZHAR-rev-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Jktg216a\GrpISA-OSP\MoM_Telkomsel\Toto\Goc\EO2\Nov\EO%20Q4%202001%20mod%2005.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M%20I%20N%20E\NBWO\NBWO%202003%20(NEW%20FORMAT)\JABOTABEK\BEKASI%20AREA\3137%20Jati%20Makmur%20Dut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Lain-Lain\Email\Bab%203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2001\ITC_Kuningan\BQ-ITC%20Kuningan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Lain-Lain\Email\Pabuaran%2070%20Meter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Lain-Lain\Email\dataku\buku%20maxikom\RAB%20dg%20Excel%202002%20untuk%20Orang%20Awam\bab2\lat-bab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Tuban\Trans_0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0DATA\DEVIS\UPAD\BOQ\HVAC\FORM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00.Siemens%20Works\00.Telkomsel%20Project%202G\20.%20MasterPlan\2007\01.%20Q2%20JPP%202007\02.%20Longlist%20Latest%20PO%20Q1%202007\Documents%20and%20Settings\Administrator\My%20Documents\SysInfo%20Siemens%20Nov'04\SysInfo%20Siemens%20Nov'04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PENAWARAN-2005\Mto-2005\Excelcom\MTO%20Tower\RBO%2071%20m%20Light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PENAWARAN-2005\Mto-2005\Excelcom\MTO%20Tower\RBO%2071%20m%20Light%20lot2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PENAWARAN-2005\Sph-2005\Mataepsi-2005\BOQ-Ducting%20Universitas%20AL-AZHAR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KS\TINEM%201st%2018%20months%20Expansion%20Program\Collection%20Pricing%20for%20TINEM\SSS\MSC%20Expansion%20Prog\version_b\01.07.05%20SSS%20Balikpapan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hared\Boq%20Bintaro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ari\Makasar\PO\New%20PO%202009\Site_List_Template_%20PO_CME_Sulmalirja%23_2009_61_sites_110809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4\D\D\PENAWARAN-2005\Mto-2005\Excelcom\MTO%20Mounting\MTO-TWR-61%20Light-WO%20201-Rawa%20Indah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Project%20TKS%20BSS\NTP_EO\NTP2004\Data%20Reference\Master%20Plan%202004%20program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2001\ITC_Bandung\ITC_BDG_Mechanical_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stimator2\D\PENAWARAN-2004\SPH-2004\Iskaba-2004\tbi\caref\GCTY\2001\AMBASADOR\Bqplrev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MITRATEL/KOTAMANEUH.xlsx" TargetMode="External"/><Relationship Id="rId1" Type="http://schemas.openxmlformats.org/officeDocument/2006/relationships/externalLinkPath" Target="/MITRATEL/KOTAMANEU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"/>
      <sheetName val="K.TambahAC"/>
      <sheetName val="FH"/>
      <sheetName val="K.TambahFH"/>
      <sheetName val="Pipe"/>
      <sheetName val="valve"/>
      <sheetName val="valve 16k"/>
      <sheetName val="ASS-PL"/>
      <sheetName val="Fitting"/>
      <sheetName val="Ana duct"/>
      <sheetName val="Hsd Duct"/>
      <sheetName val="Grille"/>
      <sheetName val="DM"/>
      <sheetName val="K_TambahAC"/>
      <sheetName val="K_TambahFH"/>
      <sheetName val="valve_16k"/>
      <sheetName val="Ana_duct"/>
      <sheetName val="Hsd_Duct"/>
      <sheetName val="BAG-2"/>
      <sheetName val="Cover"/>
      <sheetName val="114 "/>
      <sheetName val="78 All"/>
      <sheetName val="Validasi"/>
      <sheetName val="K_TambahAC1"/>
      <sheetName val="K_TambahFH1"/>
      <sheetName val="valve_16k1"/>
      <sheetName val="Ana_duct1"/>
      <sheetName val="Hsd_Duct1"/>
      <sheetName val="114_"/>
      <sheetName val="78_All"/>
      <sheetName val="K_TambahAC2"/>
      <sheetName val="K_TambahFH2"/>
      <sheetName val="valve_16k2"/>
      <sheetName val="Ana_duct2"/>
      <sheetName val="Hsd_Duct2"/>
      <sheetName val="114_1"/>
      <sheetName val="78_All1"/>
      <sheetName val="K_TambahAC3"/>
      <sheetName val="K_TambahFH3"/>
      <sheetName val="valve_16k3"/>
      <sheetName val="Ana_duct3"/>
      <sheetName val="Hsd_Duct3"/>
      <sheetName val="114_2"/>
      <sheetName val="78_All2"/>
      <sheetName val="B_3_BoM__HW_&amp;_SW_+_Pricing"/>
      <sheetName val="BQ-10 MECH 10-11-2000"/>
      <sheetName val="gV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UM-PRO (4)"/>
      <sheetName val="SUM-PRO (3)"/>
      <sheetName val="SUM-PRO (2)"/>
      <sheetName val="SUM-PRO"/>
      <sheetName val="SEX (4)"/>
      <sheetName val="SEX (3)"/>
      <sheetName val="SEX (2)"/>
      <sheetName val="SEX"/>
      <sheetName val="scope"/>
      <sheetName val="MAKER"/>
      <sheetName val="PRO-PH3"/>
      <sheetName val="PRO-PH2"/>
      <sheetName val="PRO"/>
      <sheetName val="BQ"/>
      <sheetName val="B - Norelec"/>
      <sheetName val="SUM-PRO_(4)"/>
      <sheetName val="SUM-PRO_(3)"/>
      <sheetName val="SUM-PRO_(2)"/>
      <sheetName val="SEX_(4)"/>
      <sheetName val="SEX_(3)"/>
      <sheetName val="SEX_(2)"/>
      <sheetName val="B_-_Norelec"/>
      <sheetName val="AC"/>
      <sheetName val="equipment"/>
      <sheetName val="A"/>
      <sheetName val="Legenda"/>
      <sheetName val="Summary"/>
      <sheetName val="SUM-PRO_(4)1"/>
      <sheetName val="SUM-PRO_(3)1"/>
      <sheetName val="SUM-PRO_(2)1"/>
      <sheetName val="SEX_(4)1"/>
      <sheetName val="SEX_(3)1"/>
      <sheetName val="SEX_(2)1"/>
      <sheetName val="B_-_Norelec1"/>
      <sheetName val="SUM-PRO_(4)2"/>
      <sheetName val="SUM-PRO_(3)2"/>
      <sheetName val="SUM-PRO_(2)2"/>
      <sheetName val="SEX_(4)2"/>
      <sheetName val="SEX_(3)2"/>
      <sheetName val="SEX_(2)2"/>
      <sheetName val="B_-_Norelec2"/>
      <sheetName val="GLP's_and_PSPC's1"/>
      <sheetName val="Mat_Tower"/>
      <sheetName val="Mat_Tower2"/>
      <sheetName val="US_indoor_vs_macro_outdoor"/>
      <sheetName val="63_Swap"/>
      <sheetName val="analisa"/>
      <sheetName val="Antenna"/>
      <sheetName val="harga"/>
      <sheetName val="berlang"/>
      <sheetName val="Admin"/>
      <sheetName val="bobot"/>
      <sheetName val="CRITERIA2"/>
      <sheetName val="COSY"/>
      <sheetName val="Parameters"/>
      <sheetName val="Pipe"/>
      <sheetName val="Sheet1"/>
      <sheetName val="BOM"/>
      <sheetName val="Project_Summary1"/>
      <sheetName val="Factors"/>
      <sheetName val="Rekapsub-total-ME"/>
      <sheetName val="SITAC-Model"/>
      <sheetName val="lookup"/>
      <sheetName val="BS_pricing"/>
      <sheetName val="CONV_TAB"/>
      <sheetName val="Temp"/>
      <sheetName val="Param"/>
      <sheetName val="Material_Mounting2"/>
      <sheetName val="Lampiran_MTO"/>
      <sheetName val="Rekap-ME"/>
      <sheetName val="NWEXT"/>
      <sheetName val="OFFEREXT"/>
      <sheetName val="Allowance"/>
      <sheetName val="Problem_Class"/>
      <sheetName val="Validasi"/>
      <sheetName val="PSPC_LE_Pnext_Current"/>
      <sheetName val="Validation"/>
      <sheetName val="AM-MARGIN"/>
      <sheetName val="SUPPEXT"/>
      <sheetName val="Forecast"/>
      <sheetName val="Data"/>
      <sheetName val="US_indoor_vs_macro_outdoor2"/>
      <sheetName val="ALL"/>
      <sheetName val="SUM-PRO_(4)3"/>
      <sheetName val="SUM-PRO_(3)3"/>
      <sheetName val="SUM-PRO_(2)3"/>
      <sheetName val="SEX_(4)3"/>
      <sheetName val="SEX_(3)3"/>
      <sheetName val="SEX_(2)3"/>
      <sheetName val="B_-_Norelec3"/>
      <sheetName val="lintec-sumicon"/>
      <sheetName val="Unit Rate"/>
      <sheetName val="Legend2"/>
      <sheetName val="Legend"/>
      <sheetName val="Sheet4"/>
      <sheetName val="tifico"/>
      <sheetName val="sort2"/>
      <sheetName val="Cover Daf-2"/>
      <sheetName val="CAT_HAR"/>
      <sheetName val="Cash Flow bulanan"/>
      <sheetName val="I-KAMAR"/>
      <sheetName val="I_KAMAR"/>
      <sheetName val="Fill this out first___"/>
      <sheetName val="EE-PROP"/>
      <sheetName val="Unit_Rate"/>
      <sheetName val="#REF"/>
      <sheetName val="Fill_this_out_first___"/>
      <sheetName val="BAG-2"/>
      <sheetName val="Daftar Upah"/>
      <sheetName val="harsat"/>
      <sheetName val="Cover"/>
      <sheetName val="H.Satuan"/>
      <sheetName val="Bill of Qty MEP"/>
      <sheetName val="NAMES"/>
      <sheetName val="DSBDY"/>
      <sheetName val="Material"/>
      <sheetName val="4-Basic Price"/>
      <sheetName val="RAB AR&amp;STR"/>
      <sheetName val="PRD 01-7"/>
      <sheetName val="PRD 01-8"/>
      <sheetName val="PRD 01-9"/>
      <sheetName val="PRD 01-10"/>
      <sheetName val="PRD 01-11"/>
      <sheetName val="PRD 01-3"/>
      <sheetName val="PRD 01-4"/>
      <sheetName val="Pers"/>
      <sheetName val="HM"/>
      <sheetName val="HB "/>
      <sheetName val="DAF-1"/>
      <sheetName val="Bahan"/>
      <sheetName val="HRG BHN"/>
      <sheetName val="COVERUSRP"/>
      <sheetName val="SITE"/>
      <sheetName val="ESCOND"/>
      <sheetName val="BQUSRP"/>
      <sheetName val="Isolasi Luar Dalam"/>
      <sheetName val="Isolasi Luar"/>
      <sheetName val="Fill this out first..."/>
      <sheetName val="Tabel Berat"/>
      <sheetName val="STRUKTUR"/>
      <sheetName val="Analisa STR"/>
      <sheetName val="HARGA MATERIAL"/>
      <sheetName val="JKT (2)"/>
      <sheetName val="Mat"/>
      <sheetName val="Markup"/>
      <sheetName val="Summary_Tech"/>
      <sheetName val="GLP's and PSPC's"/>
      <sheetName val="Internal Summary"/>
      <sheetName val="BS pricing"/>
      <sheetName val="Parameter"/>
      <sheetName val="Project Summary"/>
      <sheetName val="Factor"/>
      <sheetName val="GLP_s_changed_from_previous"/>
      <sheetName val="Alloc 1"/>
      <sheetName val="BILL"/>
      <sheetName val="GLP-DISCOUNT"/>
      <sheetName val="BER CAL"/>
      <sheetName val="BSC_UPGRADES"/>
      <sheetName val="Problem Class"/>
      <sheetName val="Sitelist"/>
      <sheetName val="Reff"/>
      <sheetName val="Validasi2"/>
      <sheetName val="Sheet2"/>
      <sheetName val="Pivot"/>
      <sheetName val="My Kitchen"/>
      <sheetName val="Validasi NEw"/>
      <sheetName val="Kuantitas &amp; Harga"/>
      <sheetName val="FINISHING"/>
      <sheetName val="LOADDAT"/>
      <sheetName val="Unit_Rate1"/>
      <sheetName val="Cover_Daf-2"/>
      <sheetName val="Fill_this_out_first___1"/>
      <sheetName val="Cash_Flow_bulanan"/>
      <sheetName val="H_Satuan"/>
      <sheetName val="Daftar_Upah"/>
      <sheetName val="Bill_of_Qty_MEP"/>
      <sheetName val="4-Basic_Price"/>
      <sheetName val="GSMTOWER"/>
      <sheetName val="BQ-E20-02(Rp)"/>
      <sheetName val="RAB T-95 BK"/>
      <sheetName val="GTS I PS"/>
      <sheetName val="SUM 200"/>
      <sheetName val="NET表"/>
      <sheetName val="BQ表"/>
      <sheetName val="DAFTAR 7"/>
      <sheetName val="SITE-E"/>
      <sheetName val="STR"/>
      <sheetName val="351BQMCN"/>
      <sheetName val="Estimate"/>
      <sheetName val="D.1.7"/>
      <sheetName val="D.1.5"/>
      <sheetName val="D.2.3"/>
      <sheetName val="D.2.2"/>
      <sheetName val="D &amp; W sizes"/>
      <sheetName val="I-ME"/>
      <sheetName val="Steel-Twr"/>
      <sheetName val="hrg-sat.pek"/>
      <sheetName val=" Rencana Vol per Section"/>
      <sheetName val="JAD-PEL"/>
      <sheetName val="NET?"/>
      <sheetName val="BQ?"/>
      <sheetName val="Prelim"/>
      <sheetName val="CODE"/>
      <sheetName val="24V"/>
      <sheetName val="Div2"/>
      <sheetName val="L-Mechanical"/>
      <sheetName val="Faktor"/>
      <sheetName val="TS"/>
      <sheetName val="RAB_AR&amp;STR"/>
      <sheetName val="PRD_01-7"/>
      <sheetName val="PRD_01-8"/>
      <sheetName val="PRD_01-9"/>
      <sheetName val="PRD_01-10"/>
      <sheetName val="PRD_01-11"/>
      <sheetName val="PRD_01-3"/>
      <sheetName val="PRD_01-4"/>
      <sheetName val="Plafond"/>
      <sheetName val="Panel,feeder,elek"/>
      <sheetName val="an. struktur"/>
      <sheetName val="Dashboard"/>
      <sheetName val="index"/>
      <sheetName val="struktur tdk dipakai"/>
      <sheetName val="Urai _Resap pengikat"/>
      <sheetName val="NET_"/>
      <sheetName val="BQ_"/>
      <sheetName val="rekap ahs"/>
      <sheetName val="rekap-bialat"/>
      <sheetName val="villa"/>
      <sheetName val="01A- RAB"/>
      <sheetName val="chitimc"/>
      <sheetName val="dongia (2)"/>
      <sheetName val="LKVL-CK-HT-GD1"/>
      <sheetName val="giathanh1"/>
      <sheetName val="THPDMoi  (2)"/>
      <sheetName val="gtrinh"/>
      <sheetName val="phuluc1"/>
      <sheetName val="TONG HOP VL-NC"/>
      <sheetName val="lam-moi"/>
      <sheetName val="chitiet"/>
      <sheetName val="TONGKE3p "/>
      <sheetName val="TH VL, NC, DDHT Thanhphuoc"/>
      <sheetName val="DONGIA"/>
      <sheetName val="thao-go"/>
      <sheetName val="DON GIA"/>
      <sheetName val="TONGKE-HT"/>
      <sheetName val="DG"/>
      <sheetName val="dtxl"/>
      <sheetName val="t-h HA THE"/>
      <sheetName val="CHITIET VL-NC-TT -1p"/>
      <sheetName val="TONG HOP VL-NC TT"/>
      <sheetName val="TNHCHINH"/>
      <sheetName val="TH XL"/>
      <sheetName val="CHITIET VL-NC"/>
      <sheetName val="VC"/>
      <sheetName val="Tiepdia"/>
      <sheetName val="CHITIET VL-NC-TT-3p"/>
      <sheetName val="TDTKP"/>
      <sheetName val="TDTKP1"/>
      <sheetName val="KPVC-BD "/>
      <sheetName val="VCV-BE-TONG"/>
      <sheetName val="VLOOKUP"/>
      <sheetName val="Currency Rate"/>
      <sheetName val="RAB"/>
      <sheetName val="Isolasi_Luar_Dalam"/>
      <sheetName val="Isolasi_Luar"/>
      <sheetName val="Duc-3"/>
      <sheetName val="AHSbj"/>
      <sheetName val="TJ1Q47"/>
      <sheetName val="Sch"/>
      <sheetName val="TOTAL"/>
      <sheetName val="PL1"/>
      <sheetName val="PL2"/>
      <sheetName val="PL3"/>
      <sheetName val="PL4"/>
      <sheetName val="Piping"/>
      <sheetName val="H. Satuan"/>
      <sheetName val="AHS. Keg"/>
      <sheetName val="Bahan upah"/>
      <sheetName val="BQ ARS"/>
      <sheetName val="____"/>
      <sheetName val="Elec-ins"/>
      <sheetName val="SAT-BHN"/>
      <sheetName val="INPUT DATAS"/>
      <sheetName val="Memb Schd"/>
      <sheetName val="Site IP Longhaul"/>
      <sheetName val="plumbing"/>
      <sheetName val="Quantity"/>
      <sheetName val="HRG_BHN"/>
      <sheetName val="HB_"/>
      <sheetName val="HARGA_MATERIAL"/>
      <sheetName val="Unit_Rate2"/>
      <sheetName val="Daftar_Upah1"/>
      <sheetName val="Cover_Daf-21"/>
      <sheetName val="Fill_this_out_first___3"/>
      <sheetName val="Cash_Flow_bulanan1"/>
      <sheetName val="H_Satuan1"/>
      <sheetName val="Bill_of_Qty_MEP1"/>
      <sheetName val="4-Basic_Price1"/>
      <sheetName val="PRD_01-71"/>
      <sheetName val="PRD_01-81"/>
      <sheetName val="PRD_01-91"/>
      <sheetName val="PRD_01-101"/>
      <sheetName val="PRD_01-111"/>
      <sheetName val="PRD_01-31"/>
      <sheetName val="PRD_01-41"/>
      <sheetName val="Fill_this_out_first___4"/>
      <sheetName val="Tabel_Berat1"/>
      <sheetName val="Analisa_STR1"/>
      <sheetName val="HARGA_MATERIAL1"/>
      <sheetName val="RAB_AR&amp;STR1"/>
      <sheetName val="HRG_BHN1"/>
      <sheetName val="JKT_(2)1"/>
      <sheetName val="Fill_this_out_first___2"/>
      <sheetName val="Tabel_Berat"/>
      <sheetName val="Analisa_STR"/>
      <sheetName val="JKT_(2)"/>
      <sheetName val="SUM-PRO_(4)4"/>
      <sheetName val="SUM-PRO_(3)4"/>
      <sheetName val="SUM-PRO_(2)4"/>
      <sheetName val="SEX_(4)4"/>
      <sheetName val="SEX_(3)4"/>
      <sheetName val="SEX_(2)4"/>
      <sheetName val="B_-_Norelec4"/>
      <sheetName val="Unit_Rate3"/>
      <sheetName val="Daftar_Upah2"/>
      <sheetName val="Cover_Daf-22"/>
      <sheetName val="Fill_this_out_first___5"/>
      <sheetName val="Cash_Flow_bulanan2"/>
      <sheetName val="H_Satuan2"/>
      <sheetName val="Bill_of_Qty_MEP2"/>
      <sheetName val="4-Basic_Price2"/>
      <sheetName val="PRD_01-72"/>
      <sheetName val="PRD_01-82"/>
      <sheetName val="PRD_01-92"/>
      <sheetName val="PRD_01-102"/>
      <sheetName val="PRD_01-112"/>
      <sheetName val="PRD_01-32"/>
      <sheetName val="PRD_01-42"/>
      <sheetName val="Fill_this_out_first___6"/>
      <sheetName val="Tabel_Berat2"/>
      <sheetName val="Analisa_STR2"/>
      <sheetName val="HARGA_MATERIAL2"/>
      <sheetName val="RAB_AR&amp;STR2"/>
      <sheetName val="HRG_BHN2"/>
      <sheetName val="JKT_(2)2"/>
      <sheetName val="플랜트 설치"/>
      <sheetName val="Meth "/>
      <sheetName val="TABEL BAJA"/>
      <sheetName val="DAF-2"/>
      <sheetName val="Rekap Direct Cost"/>
      <sheetName val="PESANTREN"/>
      <sheetName val="G"/>
      <sheetName val="Curup"/>
      <sheetName val="Prabu"/>
      <sheetName val="On Time"/>
      <sheetName val="Eta-maxC Lager"/>
      <sheetName val="6 Felder - Md"/>
      <sheetName val="AG25 inner maxQ-Truck"/>
      <sheetName val="U1"/>
      <sheetName val="6 Felder - maxQ"/>
      <sheetName val="RAB KapukII"/>
      <sheetName val="BAU"/>
      <sheetName val="Upah"/>
      <sheetName val="Perm. Test"/>
      <sheetName val="BQ-Str"/>
      <sheetName val="hs-str"/>
      <sheetName val="DAF-9"/>
      <sheetName val="AC unit"/>
      <sheetName val="EL acc"/>
      <sheetName val="EL lamp"/>
      <sheetName val="EL outlet"/>
      <sheetName val="Chiller acc"/>
      <sheetName val="Pipa PL"/>
      <sheetName val="PK acc"/>
      <sheetName val="PL acc"/>
      <sheetName val="PK valve"/>
      <sheetName val="PL valve"/>
      <sheetName val="AC valve"/>
      <sheetName val="PK pipe"/>
      <sheetName val="EL kabel"/>
      <sheetName val="AC power"/>
      <sheetName val="EL tray"/>
      <sheetName val="PL power"/>
      <sheetName val="PL unit"/>
      <sheetName val="PK unit"/>
      <sheetName val="EL arde"/>
      <sheetName val="D.3.1 Dinding"/>
      <sheetName val="Sheet9"/>
      <sheetName val="Harga Dasar"/>
      <sheetName val="TBM"/>
      <sheetName val="Basic Price"/>
      <sheetName val="RAB PRO"/>
      <sheetName val="TYPE A"/>
      <sheetName val="TYPE B"/>
      <sheetName val="TYPE C"/>
      <sheetName val="TYPE D"/>
      <sheetName val="BOR PILE"/>
      <sheetName val="BASEMENT PELATARAN"/>
      <sheetName val="SIRKULASI, PELATARAN, EKSTERNAL"/>
      <sheetName val="JARINGAN AIR BERSIH"/>
      <sheetName val="JARINGAN LISTRIK"/>
      <sheetName val="JARINGAN TELEPHON"/>
      <sheetName val="PERSIAPAN"/>
      <sheetName val="REKAP ME"/>
      <sheetName val="TYPIKAL UNIT"/>
      <sheetName val="REKAPTOTAL"/>
      <sheetName val="Galian 1"/>
      <sheetName val="uraian analisa"/>
      <sheetName val="DATA PROYEK"/>
      <sheetName val="Bill_Qua"/>
      <sheetName val="REKAP"/>
      <sheetName val="AKP"/>
      <sheetName val="Bi-BANK"/>
      <sheetName val="BU"/>
      <sheetName val="PP"/>
      <sheetName val="PRLTN"/>
      <sheetName val="R_BOS"/>
      <sheetName val="R_PRLT"/>
      <sheetName val="R_UPH"/>
      <sheetName val="RBP_1"/>
      <sheetName val="RBP-MAT"/>
      <sheetName val="RBP-SKON"/>
      <sheetName val="RUPA2"/>
      <sheetName val="SUBKON"/>
      <sheetName val="DISBIA"/>
      <sheetName val="BBM"/>
      <sheetName val="BRK-DWN"/>
      <sheetName val="MTRL"/>
      <sheetName val="R_BANK"/>
      <sheetName val="R_PP"/>
      <sheetName val="R_RUPA"/>
      <sheetName val="RBP"/>
      <sheetName val="SKAT"/>
      <sheetName val="SURAT"/>
      <sheetName val="div7"/>
      <sheetName val="RBP2"/>
      <sheetName val="RBP- 2"/>
      <sheetName val="AKP-1"/>
      <sheetName val="B"/>
      <sheetName val="SUM-PRO_(4)5"/>
      <sheetName val="SUM-PRO_(3)5"/>
      <sheetName val="SUM-PRO_(2)5"/>
      <sheetName val="SEX_(4)5"/>
      <sheetName val="SEX_(3)5"/>
      <sheetName val="SEX_(2)5"/>
      <sheetName val="B_-_Norelec5"/>
      <sheetName val="Unit_Rate4"/>
      <sheetName val="Daftar_Upah3"/>
      <sheetName val="Cover_Daf-23"/>
      <sheetName val="Fill_this_out_first___7"/>
      <sheetName val="Cash_Flow_bulanan3"/>
      <sheetName val="H_Satuan3"/>
      <sheetName val="Bill_of_Qty_MEP3"/>
      <sheetName val="4-Basic_Price3"/>
      <sheetName val="PRD_01-73"/>
      <sheetName val="PRD_01-83"/>
      <sheetName val="PRD_01-93"/>
      <sheetName val="PRD_01-103"/>
      <sheetName val="PRD_01-113"/>
      <sheetName val="PRD_01-33"/>
      <sheetName val="PRD_01-43"/>
      <sheetName val="Fill_this_out_first___8"/>
      <sheetName val="Tabel_Berat3"/>
      <sheetName val="Analisa_STR3"/>
      <sheetName val="HARGA_MATERIAL3"/>
      <sheetName val="RAB_AR&amp;STR3"/>
      <sheetName val="HRG_BHN3"/>
      <sheetName val="JKT_(2)3"/>
      <sheetName val=""/>
      <sheetName val="AnalisaSIPIL RIIL"/>
      <sheetName val="overall"/>
      <sheetName val="H S D"/>
      <sheetName val="anal"/>
      <sheetName val="HRG-DASAR"/>
      <sheetName val="Hrg Sat"/>
      <sheetName val="rate"/>
      <sheetName val="D985"/>
      <sheetName val="LR-APR-06"/>
      <sheetName val="hARGA SAT"/>
      <sheetName val="aN-suku"/>
      <sheetName val="BAB_5_13_Anal"/>
      <sheetName val="LR-JUN-06"/>
      <sheetName val="3-DIV4"/>
      <sheetName val="LR-MAR-06"/>
      <sheetName val="koef"/>
      <sheetName val="BARU-3"/>
      <sheetName val="BARU-4 "/>
      <sheetName val="LAMA-3"/>
      <sheetName val="LAMA-4"/>
      <sheetName val="LR-MEI-06"/>
      <sheetName val="LR-SPT-06"/>
      <sheetName val="bialangsung"/>
      <sheetName val="schbhn"/>
      <sheetName val="schalt"/>
      <sheetName val="schtng"/>
      <sheetName val="REF.ONLY"/>
      <sheetName val="Analisa Upah &amp; Bahan Plum"/>
      <sheetName val="ocean voyage"/>
      <sheetName val="tb. besi"/>
      <sheetName val="tulang"/>
      <sheetName val="DIV-03"/>
      <sheetName val="REKAP A BESAR"/>
      <sheetName val="hrg_sat"/>
      <sheetName val="REKAP TOTAL"/>
      <sheetName val="REKAP STR"/>
      <sheetName val="REKAP UNIT"/>
      <sheetName val="Q_01__BLL_per_kode"/>
      <sheetName val="Q_02__PO_per_kode"/>
      <sheetName val="EVALUASI"/>
      <sheetName val="BAG-III"/>
      <sheetName val="ALEK"/>
      <sheetName val="Rinci-Biaya"/>
      <sheetName val="Rinci-Pendapatan"/>
      <sheetName val="CPO 16-9-TID "/>
      <sheetName val="Balok_1"/>
      <sheetName val="PPC"/>
      <sheetName val="INPUT_DATAS"/>
      <sheetName val="RAB_T-95_BK"/>
      <sheetName val="GTS_I_PS"/>
      <sheetName val="SUM_200"/>
      <sheetName val="Kuantitas_&amp;_Harga"/>
      <sheetName val="DAFTAR_7"/>
      <sheetName val="_Rencana_Vol_per_Section"/>
      <sheetName val="D_1_7"/>
      <sheetName val="D_1_5"/>
      <sheetName val="D_2_3"/>
      <sheetName val="D_2_2"/>
      <sheetName val="D_&amp;_W_sizes"/>
      <sheetName val="hrg-sat_pek"/>
      <sheetName val="Currency_Rate"/>
      <sheetName val="an__struktur"/>
      <sheetName val="name"/>
      <sheetName val="L_TIGA"/>
      <sheetName val="L-TIGA"/>
      <sheetName val="#REF!"/>
      <sheetName val="Rekap Addendum"/>
      <sheetName val="BQ Dudukan Fascade OT KC"/>
      <sheetName val="ANALISA HARGA SATUAN"/>
      <sheetName val="Mall"/>
      <sheetName val="Input"/>
      <sheetName val="3ဵ1BQMCN"/>
      <sheetName val="DAF-5"/>
      <sheetName val="FitOutConfCentre"/>
      <sheetName val="RUPS"/>
      <sheetName val="BQMPALOC"/>
      <sheetName val="Ahs.2"/>
      <sheetName val="Ahs.1"/>
      <sheetName val="概総括1"/>
      <sheetName val="Pt"/>
      <sheetName val="Trading Statement"/>
      <sheetName val="Perm__Test"/>
      <sheetName val="Urai__Resap_pengikat"/>
      <sheetName val="uraian_analisa"/>
      <sheetName val="DATA_PROYEK"/>
      <sheetName val="RBP-_2"/>
      <sheetName val="Galian_1"/>
      <sheetName val="rekap_ahs"/>
      <sheetName val="BOQ"/>
      <sheetName val="5-ALAT(1)"/>
      <sheetName val="ana-alat"/>
      <sheetName val="DHSD"/>
      <sheetName val="INFO"/>
      <sheetName val="kalibrasi-Tank"/>
      <sheetName val="schtot"/>
      <sheetName val="PRICE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>
        <row r="7">
          <cell r="P7" t="str">
            <v xml:space="preserve">B U D G E T A R Y 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>
        <row r="7">
          <cell r="P7" t="str">
            <v>SST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/>
      <sheetData sheetId="554"/>
      <sheetData sheetId="555"/>
      <sheetData sheetId="556"/>
      <sheetData sheetId="557"/>
      <sheetData sheetId="558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RT"/>
      <sheetName val="ESCON"/>
      <sheetName val="SCOPE"/>
      <sheetName val="MAKER"/>
      <sheetName val="BQ"/>
      <sheetName val="PROFIT"/>
      <sheetName val="SUM-PRO"/>
      <sheetName val="SEX"/>
      <sheetName val="HVAC"/>
      <sheetName val="DBP-0200"/>
      <sheetName val="spect"/>
      <sheetName val="RAB AR&amp;STR"/>
      <sheetName val="B - Norelec"/>
      <sheetName val="[BQ-FORM.xl턐ワ_x0000__x0000__x0000_"/>
      <sheetName val="[BQ-FORM.xl_x0006__x0000_۸ݼ࢈"/>
      <sheetName val="[BQ-FORM.xl턐ワ???"/>
      <sheetName val="[BQ-FORM.xl_x0006_?۸ݼ࢈"/>
      <sheetName val="I-KAMAR"/>
      <sheetName val="_BQ-FORM.xl턐ワ"/>
      <sheetName val="_BQ-FORM.xl_x0006_"/>
      <sheetName val="AC"/>
      <sheetName val="RAB_AR&amp;STR"/>
      <sheetName val="B_-_Norelec"/>
      <sheetName val="[BQ-FORM_xl턐ワ"/>
      <sheetName val="[BQ-FORM_xl۸ݼ࢈"/>
      <sheetName val="[BQ-FORM_xl턐ワ???"/>
      <sheetName val="[BQ-FORM_xl?۸ݼ࢈"/>
      <sheetName val="_BQ-FORM_xl턐ワ"/>
      <sheetName val="_BQ-FORM_xl"/>
      <sheetName val="_BQ-FORM.xl턐ワ___"/>
      <sheetName val="_BQ-FORM.xl_x0006__۸ݼ࢈"/>
      <sheetName val="hardas"/>
      <sheetName val="DSBDY"/>
      <sheetName val="analisa"/>
      <sheetName val="[BQ-FORM.xl턐ワ_x005f_x0000__x005f_x0000__x00"/>
      <sheetName val="[BQ-FORM.xl_x005f_x0006__x005f_x0000_۸ݼ࢈"/>
      <sheetName val="BoQ"/>
      <sheetName val="_BQ-FORM.xl턐ワ_x005f_x0000__x005f_x0000__x00"/>
      <sheetName val="_BQ-FORM.xl_x005f_x0006__x005f_x0000_۸ݼ࢈"/>
      <sheetName val="_BQ-FORM_xl۸ݼ࢈"/>
      <sheetName val="_BQ-FORM_xl턐ワ___"/>
      <sheetName val="_BQ-FORM_xl_۸ݼ࢈"/>
      <sheetName val="_BQ-FORM.xl_x005f_x0006__۸ݼ࢈"/>
      <sheetName val="_BQ-FORM.xl_x005f_x0006_"/>
      <sheetName val="Cover Daf-2"/>
      <sheetName val="_BQ-FORM.xl__"/>
      <sheetName val="_BQ-FORM.xl_____"/>
      <sheetName val="_BQ-FORM.xl_x0006_____"/>
      <sheetName val="-FORM.xl___x005f_x0000__x005f_x0000__x005f_x0000_"/>
      <sheetName val="_BQ-FORM.xl_x005f_x0006__x005f_x0000____"/>
      <sheetName val="Pipe"/>
      <sheetName val="A"/>
      <sheetName val="_BQ-FORM.xl___x005f_x0000__x005f_x0000__x00"/>
      <sheetName val="_BQ-FORM_xl__"/>
      <sheetName val="_BQ-FORM_xl___"/>
      <sheetName val="_BQ-FORM_xl_____"/>
      <sheetName val="_BQ-FORM_xl____"/>
      <sheetName val="str-Rab"/>
      <sheetName val="_BQ-FORM.xl_x005f_x0006_____"/>
      <sheetName val="_BQ-FORM.xl턐ワ_帐ᾚ"/>
      <sheetName val="_BQ-FORM.xl_x0006__Ổ__"/>
      <sheetName val="概総括1"/>
      <sheetName val="[BQ-FORM.xl??_x0000__x0000__x0000_"/>
      <sheetName val="[BQ-FORM.xl_x0006__x0000_???"/>
      <sheetName val="[BQ-FORM.xl?????"/>
      <sheetName val="[BQ-FORM.xl_x0006_????"/>
      <sheetName val="_BQ-FORM.xl??"/>
      <sheetName val="-FORM.xl??_x005f_x0000__x005f_x0000__x005f_x0000_"/>
      <sheetName val="[BQ-FORM.xl_x005f_x0006__x005f_x0000_???"/>
      <sheetName val="_BQ-FORM.xl턐ワ_x005f_x005f_x005f_x0000__x005"/>
      <sheetName val="_BQ-FORM.xl_x005f_x005f_x005f_x0006__x005f_x005f_"/>
      <sheetName val="-FORM.xl___x005f_x005f_x005f_x0000__x005f_x005f_x"/>
      <sheetName val="_BQ-FORM.xl_x005f_x005f_x005f_x0006__۸ݼ࢈"/>
      <sheetName val="_BQ-FORM.xl_x005f_x005f_x005f_x0006_"/>
      <sheetName val="[BQ-FORM.xl_x005f_x0006_?۸ݼ࢈"/>
      <sheetName val="[BQ-FORM.xl턐ワ_x0000_帐ᾚ"/>
      <sheetName val="[BQ-FORM.xl_x0006__x0000_Ổ_x0000__x0000_"/>
      <sheetName val="_BQ-FORM.xl??_x005f_x0000__x005f_x0000__x00"/>
      <sheetName val="_BQ-FORM.xl_x005f_x0006__x005f_x0000_???"/>
      <sheetName val="_BQ-FORM.xl??___"/>
      <sheetName val="_BQ-FORM.xl_x005f_x0006__???"/>
      <sheetName val="[BQ-FORM_xl??"/>
      <sheetName val="[BQ-FORM_xl???"/>
      <sheetName val="[BQ-FORM_xl?????"/>
      <sheetName val="[BQ-FORM_xl????"/>
      <sheetName val="_BQ-FORM_xl??"/>
      <sheetName val="_BQ-FORM.xl_x0006__???"/>
      <sheetName val="_BQ-FORM_xl???"/>
      <sheetName val="_BQ-FORM_xl??___"/>
      <sheetName val="_BQ-FORM_xl_???"/>
      <sheetName val="[BQ-FORM.xl??_x005f_x0000__x005f_x0000__x00"/>
      <sheetName val="[BQ-FORM.xl_x005f_x0006_????"/>
      <sheetName val="[BQ-FORM.xl턐ワ?帐ᾚ"/>
      <sheetName val="[BQ-FORM.xl_x0006_?Ổ??"/>
      <sheetName val="[BQ-FORM.xl??_x0000_??"/>
      <sheetName val="[BQ-FORM.xl_x0006__x0000_?_x0000__x0000_"/>
      <sheetName val="Cash Flow bulanan"/>
      <sheetName val="EE-PROP"/>
      <sheetName val="[BQ-FORM.xl턐ワ_x005f_x005f_x005f_x0000__x005"/>
      <sheetName val="[BQ-FORM.xl_x005f_x005f_x005f_x0006__x005f_x005f_"/>
      <sheetName val="[BQ-FORM.xl턐ワ_x0000_"/>
      <sheetName val="RAB_AR&amp;STR1"/>
      <sheetName val="B_-_Norelec1"/>
      <sheetName val="[BQ-FORM_xl턐ワ???1"/>
      <sheetName val="_BQ-FORM_xl턐ワ1"/>
      <sheetName val="_BQ-FORM_xl턐ワ___1"/>
      <sheetName val="[BQ-FORM_xl턐ワ_x005f_x0000__x005f_x0000__x00"/>
      <sheetName val="[BQ-FORM_xl_x005f_x0006__x005f_x0000_۸ݼ࢈"/>
      <sheetName val="[BQ-FORM_xl?????1"/>
      <sheetName val="_BQ-FORM_xl??1"/>
      <sheetName val="-FORM_xl??_x005f_x0000__x005f_x0000__x005f_x0000_"/>
      <sheetName val="[BQ-FORM_xl_x005f_x0006__x005f_x0000_???"/>
      <sheetName val="_BQ-FORM_xl턐ワ_x005f_x0000__x005f_x0000__x00"/>
      <sheetName val="_BQ-FORM_xl_x005f_x0006__x005f_x0000_۸ݼ࢈"/>
      <sheetName val="_BQ-FORM_xl_x005f_x0006__۸ݼ࢈"/>
      <sheetName val="_BQ-FORM_xl_x005f_x0006_"/>
      <sheetName val="Cover_Daf-2"/>
      <sheetName val="_BQ-FORM_xl턐ワ_x005f_x005f_x005f_x0000__x005"/>
      <sheetName val="_BQ-FORM_xl_x005f_x005f_x005f_x0006__x005f_x005f_"/>
      <sheetName val="_BQ-FORM_xl___x005f_x0000__x005f_x0000__x00"/>
      <sheetName val="_BQ-FORM_xl_x005f_x0006__x005f_x0000____"/>
      <sheetName val="_BQ-FORM_xl_____1"/>
      <sheetName val="_BQ-FORM_xl_x005f_x0006_____"/>
      <sheetName val="_BQ-FORM_xl__1"/>
      <sheetName val="-FORM_xl___x005f_x005f_x005f_x0000__x005f_x005f_x"/>
      <sheetName val="_BQ-FORM_xl_x005f_x005f_x005f_x0006__۸ݼ࢈"/>
      <sheetName val="_BQ-FORM_xl_x005f_x005f_x005f_x0006_"/>
      <sheetName val="[BQ-FORM_xl_x005f_x0006_?۸ݼ࢈"/>
      <sheetName val="[BQ-FORM_xl턐ワ帐ᾚ"/>
      <sheetName val="[BQ-FORM_xlỔ"/>
      <sheetName val="_BQ-FORM_xl??_x005f_x0000__x005f_x0000__x00"/>
      <sheetName val="_BQ-FORM_xl_x005f_x0006__x005f_x0000_???"/>
      <sheetName val="_BQ-FORM_xl??___1"/>
      <sheetName val="_BQ-FORM_xl_x005f_x0006__???"/>
      <sheetName val="[BQ-FORM_xl??_x005f_x0000__x005f_x0000__x00"/>
      <sheetName val="[BQ-FORM_xl_x005f_x0006_????"/>
      <sheetName val="[BQ-FORM_xl턐ワ?帐ᾚ"/>
      <sheetName val="[BQ-FORM_xl?Ổ??"/>
      <sheetName val="[BQ-FORM_xl?"/>
      <sheetName val="-FORM_xl___x005f_x0000__x005f_x0000__x005f_x0000_"/>
      <sheetName val="_BQ-FORM_xl턐ワ_帐ᾚ"/>
      <sheetName val="_BQ-FORM_xl_Ổ__"/>
      <sheetName val="Cash_Flow_bulanan"/>
      <sheetName val="PROCURE"/>
      <sheetName val="[BQ-FORM.xl턐ワ?"/>
      <sheetName val="???1"/>
      <sheetName val="_BQ-FORM.xl턐ワ_x005f_x005f_x005f_x005f_x005f"/>
      <sheetName val="_BQ-FORM.xl_x005f_x005f_x005f_x005f_x005f_x005f_x"/>
      <sheetName val="_BQ-FORM.xl___x005f_x005f_x005f_x0000__x005"/>
      <sheetName val="_BQ-FORM.xl_x005f_x005f_x005f_x0006_____"/>
      <sheetName val="-FORM.xl___x005f_x005f_x005f_x005f_x005f_x005f_x0"/>
      <sheetName val="_BQ-FORM.xl턐ワ_x005f_x0000_帐ᾚ"/>
      <sheetName val="_BQ-FORM.xl_x005f_x0006__x005f_x0000_Ổ_x000"/>
      <sheetName val="_BQ-FORM.xl_x005f_x0006__Ổ__"/>
      <sheetName val="_BQ-FORM.xl___x005f_x0000___"/>
      <sheetName val="_BQ-FORM.xl_x005f_x0006__x005f_x0000___x000"/>
      <sheetName val="_BQ-FORM.xl턐ワ_x005f_x0000_"/>
      <sheetName val="OP. ALAT"/>
      <sheetName val="OP. PERJAM"/>
      <sheetName val="B. PERSONIL"/>
      <sheetName val="KAN. LOKAL"/>
      <sheetName val="Perm. Test"/>
      <sheetName val="[BQ-FORM.xl턐ワ_x0000_ҡ"/>
      <sheetName val="[BQ-FORM.xl_x0006__x0000__x0000__x0000__x0000_"/>
      <sheetName val="___1"/>
      <sheetName val="_BQ-FORM.xl??_??"/>
      <sheetName val="_BQ-FORM.xl_x0006__?__"/>
      <sheetName val="[BQ-FORM.xl??_x0000_"/>
      <sheetName val="[BQ-FORM.xl???"/>
      <sheetName val="H.Satuan"/>
      <sheetName val="JAD-PEL"/>
      <sheetName val="Estimate"/>
      <sheetName val="Rekapitulasi"/>
      <sheetName val="TRNS-C1"/>
      <sheetName val="UPAH &amp; BHN ARS"/>
      <sheetName val="AHS ARS"/>
      <sheetName val="Electrical "/>
      <sheetName val="SCADA ENG"/>
      <sheetName val="Supervisory Control System"/>
      <sheetName val="Agregat Halus &amp; Kasar"/>
      <sheetName val="GASATAGG.XLS"/>
      <sheetName val="Galian"/>
      <sheetName val="Budg.Cost"/>
      <sheetName val="Input Page"/>
      <sheetName val="Financials"/>
      <sheetName val="[BQ-FORM.xl턐ワ"/>
      <sheetName val="[BQ-FORM.xl_x0006_"/>
      <sheetName val="[BQ-FORM.xl??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"/>
      <sheetName val="UnitpricE"/>
      <sheetName val="C"/>
      <sheetName val="D"/>
      <sheetName val="BAG-2"/>
      <sheetName val="ESCON"/>
      <sheetName val="harga"/>
      <sheetName val="DETAIL"/>
      <sheetName val="Trans_0"/>
      <sheetName val="CONV_TAB"/>
      <sheetName val="bobot"/>
      <sheetName val="rab"/>
      <sheetName val="install"/>
      <sheetName val="para"/>
      <sheetName val="coef"/>
      <sheetName val="lookup"/>
      <sheetName val="Analisa (3)"/>
      <sheetName val="Bobot (2)"/>
      <sheetName val="B - Norelec"/>
      <sheetName val="Param"/>
      <sheetName val="TypeSite.AXD155-3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M"/>
      <sheetName val="BOLT-SITE"/>
      <sheetName val="Material"/>
      <sheetName val="Mat Tower"/>
      <sheetName val="Material List-70"/>
      <sheetName val="MTO"/>
      <sheetName val="MTO R4"/>
      <sheetName val="RBO Complete"/>
      <sheetName val="RBO tanpa Baut, tm, anch"/>
      <sheetName val="Rekapsub-total-ME"/>
      <sheetName val="Currency &amp; Site Names"/>
      <sheetName val="GLP-DISCOUNT"/>
      <sheetName val="BSC_UPGRADES"/>
      <sheetName val="Mat_Tower"/>
      <sheetName val="Material_List-70"/>
      <sheetName val="MTO_R4"/>
      <sheetName val="RBO_Complete"/>
      <sheetName val="RBO_tanpa_Baut,_tm,_anch"/>
      <sheetName val="Currency_&amp;_Site_Names"/>
      <sheetName val="analisa"/>
      <sheetName val="harga"/>
      <sheetName val="Parameter"/>
      <sheetName val="B - Norelec"/>
      <sheetName val="Allowance"/>
    </sheetNames>
    <sheetDataSet>
      <sheetData sheetId="0"/>
      <sheetData sheetId="1"/>
      <sheetData sheetId="2"/>
      <sheetData sheetId="3" refreshError="1">
        <row r="9">
          <cell r="C9" t="str">
            <v>L 40 x 40 x 4 mm</v>
          </cell>
        </row>
        <row r="16">
          <cell r="C16" t="str">
            <v>L 90 x 90 x 9 mm</v>
          </cell>
        </row>
        <row r="43">
          <cell r="C43" t="str">
            <v>Pipa dia. 1" ( Sch 40 )</v>
          </cell>
        </row>
        <row r="44">
          <cell r="C44" t="str">
            <v>Pipa dia. 2" ( Sch 40 )</v>
          </cell>
        </row>
      </sheetData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 Tower"/>
      <sheetName val="List asli"/>
      <sheetName val="MTO"/>
      <sheetName val="RAB"/>
      <sheetName val="Penawaran"/>
      <sheetName val="Penawaran (pcs)"/>
      <sheetName val="harga"/>
      <sheetName val="Factors"/>
      <sheetName val="B - Norelec"/>
      <sheetName val="Mat_Tower"/>
      <sheetName val="List_asli"/>
      <sheetName val="Penawaran_(pcs)"/>
      <sheetName val="B_-_Norelec"/>
      <sheetName val="Material Hilang Gn. Matamanis"/>
      <sheetName val="SUPPEXT"/>
      <sheetName val="Data"/>
      <sheetName val="BILL"/>
    </sheetNames>
    <sheetDataSet>
      <sheetData sheetId="0" refreshError="1">
        <row r="8">
          <cell r="C8" t="str">
            <v>BESI SIKU</v>
          </cell>
        </row>
        <row r="9">
          <cell r="C9" t="str">
            <v>L 40 x 40 x 4 mm</v>
          </cell>
          <cell r="E9">
            <v>6</v>
          </cell>
          <cell r="F9" t="str">
            <v>m</v>
          </cell>
          <cell r="G9" t="str">
            <v>Btg</v>
          </cell>
          <cell r="H9">
            <v>14.52</v>
          </cell>
          <cell r="I9">
            <v>2.42</v>
          </cell>
          <cell r="J9">
            <v>5300</v>
          </cell>
          <cell r="K9">
            <v>76956</v>
          </cell>
          <cell r="L9">
            <v>12826</v>
          </cell>
        </row>
        <row r="10">
          <cell r="C10" t="str">
            <v>L 50 x 50 x 5 mm</v>
          </cell>
          <cell r="E10">
            <v>6</v>
          </cell>
          <cell r="F10" t="str">
            <v>m</v>
          </cell>
          <cell r="G10" t="str">
            <v>Btg</v>
          </cell>
          <cell r="H10">
            <v>22.68</v>
          </cell>
          <cell r="I10">
            <v>3.78</v>
          </cell>
          <cell r="J10">
            <v>5300</v>
          </cell>
          <cell r="K10">
            <v>120204</v>
          </cell>
          <cell r="L10">
            <v>20034</v>
          </cell>
        </row>
        <row r="11">
          <cell r="C11" t="str">
            <v>L 60 x 60 x 6 mm</v>
          </cell>
          <cell r="E11">
            <v>6</v>
          </cell>
          <cell r="F11" t="str">
            <v>m</v>
          </cell>
          <cell r="G11" t="str">
            <v>Btg</v>
          </cell>
          <cell r="H11">
            <v>32.520000000000003</v>
          </cell>
          <cell r="I11">
            <v>5.4200000000000008</v>
          </cell>
          <cell r="J11">
            <v>5300</v>
          </cell>
          <cell r="K11">
            <v>172356</v>
          </cell>
          <cell r="L11">
            <v>28726.000000000004</v>
          </cell>
        </row>
        <row r="12">
          <cell r="C12" t="str">
            <v>L 65 x 65 x 6 mm</v>
          </cell>
          <cell r="E12">
            <v>6</v>
          </cell>
          <cell r="F12" t="str">
            <v>m</v>
          </cell>
          <cell r="G12" t="str">
            <v>Btg</v>
          </cell>
          <cell r="H12">
            <v>35.46</v>
          </cell>
          <cell r="I12">
            <v>5.91</v>
          </cell>
          <cell r="J12">
            <v>5300</v>
          </cell>
          <cell r="K12">
            <v>187938</v>
          </cell>
          <cell r="L12">
            <v>31323</v>
          </cell>
        </row>
        <row r="13">
          <cell r="C13" t="str">
            <v>L 70 x 70 x 7 mm</v>
          </cell>
          <cell r="E13">
            <v>6</v>
          </cell>
          <cell r="F13" t="str">
            <v>m</v>
          </cell>
          <cell r="G13" t="str">
            <v>Btg</v>
          </cell>
          <cell r="H13">
            <v>44.28</v>
          </cell>
          <cell r="I13">
            <v>7.38</v>
          </cell>
          <cell r="J13">
            <v>5300</v>
          </cell>
          <cell r="K13">
            <v>234684</v>
          </cell>
          <cell r="L13">
            <v>39114</v>
          </cell>
        </row>
        <row r="14">
          <cell r="C14" t="str">
            <v>L 75 x 75 x 7 mm</v>
          </cell>
          <cell r="E14">
            <v>6</v>
          </cell>
          <cell r="F14" t="str">
            <v>m</v>
          </cell>
          <cell r="G14" t="str">
            <v>Btg</v>
          </cell>
          <cell r="H14">
            <v>47.64</v>
          </cell>
          <cell r="I14">
            <v>7.94</v>
          </cell>
          <cell r="J14">
            <v>5300</v>
          </cell>
          <cell r="K14">
            <v>252492</v>
          </cell>
          <cell r="L14">
            <v>42082</v>
          </cell>
        </row>
        <row r="15">
          <cell r="C15" t="str">
            <v>L 80 x 80 x 8 mm</v>
          </cell>
          <cell r="E15">
            <v>6</v>
          </cell>
          <cell r="F15" t="str">
            <v>m</v>
          </cell>
          <cell r="G15" t="str">
            <v>Btg</v>
          </cell>
          <cell r="H15">
            <v>57.96</v>
          </cell>
          <cell r="I15">
            <v>9.66</v>
          </cell>
          <cell r="J15">
            <v>5364</v>
          </cell>
          <cell r="K15">
            <v>310898</v>
          </cell>
          <cell r="L15">
            <v>51816.24</v>
          </cell>
        </row>
        <row r="16">
          <cell r="C16" t="str">
            <v>L 90 x 90 x 9 mm</v>
          </cell>
          <cell r="E16">
            <v>6</v>
          </cell>
          <cell r="F16" t="str">
            <v>m</v>
          </cell>
          <cell r="G16" t="str">
            <v>Btg</v>
          </cell>
          <cell r="H16">
            <v>73.2</v>
          </cell>
          <cell r="I16">
            <v>12.200000000000001</v>
          </cell>
          <cell r="J16">
            <v>5364</v>
          </cell>
          <cell r="K16">
            <v>392645</v>
          </cell>
          <cell r="L16">
            <v>65440.800000000003</v>
          </cell>
        </row>
        <row r="17">
          <cell r="C17" t="str">
            <v>L 100 x 100 x 10 mm</v>
          </cell>
          <cell r="E17">
            <v>12</v>
          </cell>
          <cell r="F17" t="str">
            <v>m</v>
          </cell>
          <cell r="G17" t="str">
            <v>Btg</v>
          </cell>
          <cell r="H17">
            <v>181.2</v>
          </cell>
          <cell r="I17">
            <v>15.1</v>
          </cell>
          <cell r="J17">
            <v>5450</v>
          </cell>
          <cell r="K17">
            <v>987540</v>
          </cell>
          <cell r="L17">
            <v>82295</v>
          </cell>
        </row>
        <row r="18">
          <cell r="C18" t="str">
            <v>L 120 x 120 x 12 mm</v>
          </cell>
          <cell r="E18">
            <v>12</v>
          </cell>
          <cell r="F18" t="str">
            <v>m</v>
          </cell>
          <cell r="G18" t="str">
            <v>Btg</v>
          </cell>
          <cell r="H18">
            <v>260</v>
          </cell>
          <cell r="I18">
            <v>21.666666666666668</v>
          </cell>
          <cell r="J18">
            <v>6050</v>
          </cell>
          <cell r="K18">
            <v>1573000</v>
          </cell>
          <cell r="L18">
            <v>131083.33333333334</v>
          </cell>
        </row>
        <row r="19">
          <cell r="C19" t="str">
            <v>L 125 x 125 x 12 mm</v>
          </cell>
          <cell r="E19">
            <v>12</v>
          </cell>
          <cell r="F19" t="str">
            <v>m</v>
          </cell>
          <cell r="G19" t="str">
            <v>Btg</v>
          </cell>
          <cell r="H19">
            <v>280</v>
          </cell>
          <cell r="I19">
            <v>23.333333333333332</v>
          </cell>
          <cell r="J19">
            <v>6050</v>
          </cell>
          <cell r="K19">
            <v>1694000</v>
          </cell>
          <cell r="L19">
            <v>141166.66666666666</v>
          </cell>
        </row>
        <row r="20">
          <cell r="C20" t="str">
            <v>L 130 x 130 x 12 mm</v>
          </cell>
          <cell r="E20">
            <v>12</v>
          </cell>
          <cell r="F20" t="str">
            <v>m</v>
          </cell>
          <cell r="G20" t="str">
            <v>Btg</v>
          </cell>
          <cell r="H20">
            <v>280.2</v>
          </cell>
          <cell r="I20">
            <v>23.349999999999998</v>
          </cell>
          <cell r="J20">
            <v>6050</v>
          </cell>
          <cell r="K20">
            <v>1695210</v>
          </cell>
          <cell r="L20">
            <v>141267.5</v>
          </cell>
        </row>
        <row r="21">
          <cell r="C21" t="str">
            <v>L 150 x 150 x 12 mm</v>
          </cell>
          <cell r="E21">
            <v>12</v>
          </cell>
          <cell r="F21" t="str">
            <v>m</v>
          </cell>
          <cell r="G21" t="str">
            <v>Btg</v>
          </cell>
          <cell r="H21">
            <v>328</v>
          </cell>
          <cell r="I21">
            <v>27.333333333333332</v>
          </cell>
          <cell r="J21">
            <v>6050</v>
          </cell>
          <cell r="K21">
            <v>1984400</v>
          </cell>
          <cell r="L21">
            <v>165366.66666666666</v>
          </cell>
        </row>
        <row r="22">
          <cell r="C22" t="str">
            <v>L 150 x 150 x 15 mm</v>
          </cell>
          <cell r="E22">
            <v>12</v>
          </cell>
          <cell r="F22" t="str">
            <v>m</v>
          </cell>
          <cell r="G22" t="str">
            <v>Btg</v>
          </cell>
          <cell r="H22">
            <v>404</v>
          </cell>
          <cell r="I22">
            <v>33.666666666666664</v>
          </cell>
          <cell r="J22">
            <v>6050</v>
          </cell>
          <cell r="K22">
            <v>2444200</v>
          </cell>
          <cell r="L22">
            <v>203683.33333333331</v>
          </cell>
        </row>
        <row r="23">
          <cell r="C23" t="str">
            <v>L 175 x 175 x 15 mm</v>
          </cell>
          <cell r="E23">
            <v>12</v>
          </cell>
          <cell r="F23" t="str">
            <v>m</v>
          </cell>
          <cell r="G23" t="str">
            <v>Btg</v>
          </cell>
          <cell r="H23">
            <v>475</v>
          </cell>
          <cell r="I23">
            <v>39.583333333333336</v>
          </cell>
          <cell r="J23">
            <v>7500</v>
          </cell>
          <cell r="K23">
            <v>3562500</v>
          </cell>
          <cell r="L23">
            <v>296875</v>
          </cell>
        </row>
        <row r="24">
          <cell r="C24" t="str">
            <v>L 200 x 200 x 15 mm</v>
          </cell>
          <cell r="E24">
            <v>12</v>
          </cell>
          <cell r="F24" t="str">
            <v>m</v>
          </cell>
          <cell r="G24" t="str">
            <v>Btg</v>
          </cell>
          <cell r="H24">
            <v>544</v>
          </cell>
          <cell r="I24">
            <v>45.333333333333336</v>
          </cell>
          <cell r="J24">
            <v>6450</v>
          </cell>
          <cell r="K24">
            <v>3508800</v>
          </cell>
          <cell r="L24">
            <v>292400</v>
          </cell>
        </row>
        <row r="25">
          <cell r="C25" t="str">
            <v>L 200 x 200 x 20 mm</v>
          </cell>
          <cell r="E25">
            <v>12</v>
          </cell>
          <cell r="F25" t="str">
            <v>m</v>
          </cell>
          <cell r="G25" t="str">
            <v>Btg</v>
          </cell>
          <cell r="H25">
            <v>716</v>
          </cell>
          <cell r="I25">
            <v>59.666666666666664</v>
          </cell>
          <cell r="J25">
            <v>6450</v>
          </cell>
          <cell r="K25">
            <v>4618200</v>
          </cell>
          <cell r="L25">
            <v>384850</v>
          </cell>
        </row>
        <row r="27">
          <cell r="C27" t="str">
            <v>ROUND BARS</v>
          </cell>
        </row>
        <row r="28">
          <cell r="C28" t="str">
            <v>Rod bars dia 8 mm</v>
          </cell>
          <cell r="E28">
            <v>12</v>
          </cell>
          <cell r="F28" t="str">
            <v>m</v>
          </cell>
          <cell r="G28" t="str">
            <v>Btg</v>
          </cell>
          <cell r="H28">
            <v>4.74</v>
          </cell>
          <cell r="I28">
            <v>0.39500000000000002</v>
          </cell>
          <cell r="J28">
            <v>5100</v>
          </cell>
          <cell r="K28">
            <v>24174</v>
          </cell>
          <cell r="L28">
            <v>2014.5</v>
          </cell>
        </row>
        <row r="29">
          <cell r="C29" t="str">
            <v>Rod bars dia 10 mm</v>
          </cell>
          <cell r="E29">
            <v>12</v>
          </cell>
          <cell r="F29" t="str">
            <v>m</v>
          </cell>
          <cell r="G29" t="str">
            <v>Btg</v>
          </cell>
          <cell r="H29">
            <v>7.4</v>
          </cell>
          <cell r="I29">
            <v>0.6166666666666667</v>
          </cell>
          <cell r="J29">
            <v>5100</v>
          </cell>
          <cell r="K29">
            <v>37740</v>
          </cell>
          <cell r="L29">
            <v>3145</v>
          </cell>
        </row>
        <row r="30">
          <cell r="C30" t="str">
            <v>Rod bars dia 12 mm</v>
          </cell>
          <cell r="E30">
            <v>12</v>
          </cell>
          <cell r="F30" t="str">
            <v>m</v>
          </cell>
          <cell r="G30" t="str">
            <v>Btg</v>
          </cell>
          <cell r="H30">
            <v>10.7</v>
          </cell>
          <cell r="I30">
            <v>0.89166666666666661</v>
          </cell>
          <cell r="J30">
            <v>5100</v>
          </cell>
          <cell r="K30">
            <v>54570</v>
          </cell>
          <cell r="L30">
            <v>4547.5</v>
          </cell>
        </row>
        <row r="31">
          <cell r="C31" t="str">
            <v>Rod bars dia 16 mm</v>
          </cell>
          <cell r="E31">
            <v>12</v>
          </cell>
          <cell r="F31" t="str">
            <v>m</v>
          </cell>
          <cell r="G31" t="str">
            <v>Btg</v>
          </cell>
          <cell r="H31">
            <v>19</v>
          </cell>
          <cell r="I31">
            <v>1.5833333333333333</v>
          </cell>
          <cell r="J31">
            <v>5100</v>
          </cell>
          <cell r="K31">
            <v>96900</v>
          </cell>
          <cell r="L31">
            <v>8075</v>
          </cell>
        </row>
        <row r="32">
          <cell r="C32" t="str">
            <v>Rod bars dia 19 mm</v>
          </cell>
          <cell r="E32">
            <v>12</v>
          </cell>
          <cell r="F32" t="str">
            <v>m</v>
          </cell>
          <cell r="G32" t="str">
            <v>Btg</v>
          </cell>
          <cell r="H32">
            <v>26.8</v>
          </cell>
          <cell r="I32">
            <v>2.2333333333333334</v>
          </cell>
          <cell r="J32">
            <v>5100</v>
          </cell>
          <cell r="K32">
            <v>136680</v>
          </cell>
          <cell r="L32">
            <v>11390</v>
          </cell>
        </row>
        <row r="33">
          <cell r="C33" t="str">
            <v>Rod bars dia 22 mm</v>
          </cell>
          <cell r="E33">
            <v>12</v>
          </cell>
          <cell r="F33" t="str">
            <v>m</v>
          </cell>
          <cell r="G33" t="str">
            <v>Btg</v>
          </cell>
          <cell r="H33">
            <v>35.799999999999997</v>
          </cell>
          <cell r="I33">
            <v>2.9833333333333329</v>
          </cell>
          <cell r="J33">
            <v>5100</v>
          </cell>
          <cell r="K33">
            <v>182580</v>
          </cell>
          <cell r="L33">
            <v>15214.999999999998</v>
          </cell>
        </row>
        <row r="35">
          <cell r="C35" t="str">
            <v>FLAT BARS</v>
          </cell>
        </row>
        <row r="36">
          <cell r="C36" t="str">
            <v>Flat bars 4 x 36 mm</v>
          </cell>
          <cell r="E36">
            <v>6</v>
          </cell>
          <cell r="F36" t="str">
            <v>m</v>
          </cell>
          <cell r="G36" t="str">
            <v>Btg</v>
          </cell>
          <cell r="H36">
            <v>6.78</v>
          </cell>
          <cell r="I36">
            <v>1.1300000000000001</v>
          </cell>
          <cell r="J36">
            <v>6000</v>
          </cell>
          <cell r="K36">
            <v>40680</v>
          </cell>
          <cell r="L36">
            <v>6780.0000000000009</v>
          </cell>
        </row>
        <row r="37">
          <cell r="C37" t="str">
            <v>Flat bars 4 x 40 mm</v>
          </cell>
          <cell r="E37">
            <v>6</v>
          </cell>
          <cell r="F37" t="str">
            <v>m</v>
          </cell>
          <cell r="G37" t="str">
            <v>Btg</v>
          </cell>
          <cell r="H37">
            <v>7.54</v>
          </cell>
          <cell r="I37">
            <v>1.2566666666666666</v>
          </cell>
          <cell r="J37">
            <v>6000</v>
          </cell>
          <cell r="K37">
            <v>45240</v>
          </cell>
          <cell r="L37">
            <v>7540</v>
          </cell>
        </row>
        <row r="38">
          <cell r="C38" t="str">
            <v>Flat bars 5 x 50 mm</v>
          </cell>
          <cell r="E38">
            <v>6</v>
          </cell>
          <cell r="F38" t="str">
            <v>m</v>
          </cell>
          <cell r="G38" t="str">
            <v>Btg</v>
          </cell>
          <cell r="H38">
            <v>11.77</v>
          </cell>
          <cell r="I38">
            <v>1.9616666666666667</v>
          </cell>
          <cell r="J38">
            <v>6000</v>
          </cell>
          <cell r="K38">
            <v>70620</v>
          </cell>
          <cell r="L38">
            <v>11770</v>
          </cell>
        </row>
        <row r="39">
          <cell r="C39" t="str">
            <v>Flat bars 6 x 50 mm</v>
          </cell>
          <cell r="E39">
            <v>6</v>
          </cell>
          <cell r="F39" t="str">
            <v>m</v>
          </cell>
          <cell r="G39" t="str">
            <v>Btg</v>
          </cell>
          <cell r="H39">
            <v>14.15</v>
          </cell>
          <cell r="I39">
            <v>2.3583333333333334</v>
          </cell>
          <cell r="J39">
            <v>6000</v>
          </cell>
          <cell r="K39">
            <v>84900</v>
          </cell>
          <cell r="L39">
            <v>14150</v>
          </cell>
        </row>
        <row r="41">
          <cell r="C41" t="str">
            <v>PIPA SCHEDULE 40 / ASTM A53-A (harga pertanggal 08 Februari 2005)</v>
          </cell>
          <cell r="K41" t="str">
            <v>PPI</v>
          </cell>
        </row>
        <row r="42">
          <cell r="C42" t="str">
            <v>Pipa dia. 1/2", t= 2.8 mm ( Sch 40 )</v>
          </cell>
          <cell r="E42">
            <v>6</v>
          </cell>
          <cell r="F42" t="str">
            <v>m</v>
          </cell>
          <cell r="G42" t="str">
            <v>Btg</v>
          </cell>
          <cell r="H42">
            <v>7.86</v>
          </cell>
          <cell r="I42">
            <v>1.31</v>
          </cell>
          <cell r="J42">
            <v>12595.419847328243</v>
          </cell>
          <cell r="K42">
            <v>99000</v>
          </cell>
          <cell r="L42">
            <v>16500</v>
          </cell>
        </row>
        <row r="43">
          <cell r="C43" t="str">
            <v>Pipa dia. 3/4", t= 2.9 mm ( Sch 40 )</v>
          </cell>
          <cell r="E43">
            <v>6</v>
          </cell>
          <cell r="F43" t="str">
            <v>m</v>
          </cell>
          <cell r="G43" t="str">
            <v>Btg</v>
          </cell>
          <cell r="H43">
            <v>10.44</v>
          </cell>
          <cell r="I43">
            <v>1.74</v>
          </cell>
          <cell r="J43">
            <v>11973.180076628352</v>
          </cell>
          <cell r="K43">
            <v>125000</v>
          </cell>
          <cell r="L43">
            <v>20833.333333333332</v>
          </cell>
        </row>
        <row r="44">
          <cell r="C44" t="str">
            <v>Pipa dia. 1", t= 3.4 mm ( SCH 40 )</v>
          </cell>
          <cell r="E44">
            <v>6</v>
          </cell>
          <cell r="F44" t="str">
            <v>m</v>
          </cell>
          <cell r="G44" t="str">
            <v>Btg</v>
          </cell>
          <cell r="H44">
            <v>15.42</v>
          </cell>
          <cell r="I44">
            <v>2.57</v>
          </cell>
          <cell r="J44">
            <v>12581.063553826199</v>
          </cell>
          <cell r="K44">
            <v>194000</v>
          </cell>
          <cell r="L44">
            <v>32333.333333333332</v>
          </cell>
        </row>
        <row r="45">
          <cell r="C45" t="str">
            <v>Pipa dia. 1 1/4", t= 3.6 mm ( SCH 40 )</v>
          </cell>
          <cell r="E45">
            <v>6</v>
          </cell>
          <cell r="F45" t="str">
            <v>m</v>
          </cell>
          <cell r="G45" t="str">
            <v>Btg</v>
          </cell>
          <cell r="H45">
            <v>20.82</v>
          </cell>
          <cell r="I45">
            <v>3.47</v>
          </cell>
          <cell r="J45">
            <v>11791.546589817483</v>
          </cell>
          <cell r="K45">
            <v>245500</v>
          </cell>
          <cell r="L45">
            <v>40916.666666666664</v>
          </cell>
        </row>
        <row r="46">
          <cell r="C46" t="str">
            <v>Pipa dia. 1 1/2", t= 3.7 mm ( SCH 40 )</v>
          </cell>
          <cell r="E46">
            <v>6</v>
          </cell>
          <cell r="F46" t="str">
            <v>m</v>
          </cell>
          <cell r="G46" t="str">
            <v>Btg</v>
          </cell>
          <cell r="H46">
            <v>24.6</v>
          </cell>
          <cell r="I46">
            <v>4.1000000000000005</v>
          </cell>
          <cell r="J46">
            <v>12703.252032520324</v>
          </cell>
          <cell r="K46">
            <v>312500</v>
          </cell>
          <cell r="L46">
            <v>52083.333333333336</v>
          </cell>
        </row>
        <row r="47">
          <cell r="C47" t="str">
            <v>Pipa dia. 2", t= 3.9 mm ( SCH 40 )</v>
          </cell>
          <cell r="E47">
            <v>6</v>
          </cell>
          <cell r="F47" t="str">
            <v>m</v>
          </cell>
          <cell r="G47" t="str">
            <v>Btg</v>
          </cell>
          <cell r="H47">
            <v>32.64</v>
          </cell>
          <cell r="I47">
            <v>5.44</v>
          </cell>
          <cell r="J47">
            <v>12454.044117647059</v>
          </cell>
          <cell r="K47">
            <v>406500</v>
          </cell>
          <cell r="L47">
            <v>67750.000000000015</v>
          </cell>
        </row>
        <row r="48">
          <cell r="C48" t="str">
            <v>Pipa dia. 2 1/2", t= 5.2 mm ( SCH 40 )</v>
          </cell>
          <cell r="E48">
            <v>6</v>
          </cell>
          <cell r="F48" t="str">
            <v>m</v>
          </cell>
          <cell r="G48" t="str">
            <v>Btg</v>
          </cell>
          <cell r="H48">
            <v>54.72</v>
          </cell>
          <cell r="I48">
            <v>9.1199999999999992</v>
          </cell>
          <cell r="J48">
            <v>11805.555555555557</v>
          </cell>
          <cell r="K48">
            <v>646000</v>
          </cell>
          <cell r="L48">
            <v>107666.66666666667</v>
          </cell>
        </row>
        <row r="49">
          <cell r="C49" t="str">
            <v>Pipa dia. 3", t= 5.5 mm ( SCH 40 )</v>
          </cell>
          <cell r="E49">
            <v>6</v>
          </cell>
          <cell r="F49" t="str">
            <v>m</v>
          </cell>
          <cell r="G49" t="str">
            <v>Btg</v>
          </cell>
          <cell r="H49">
            <v>67.8</v>
          </cell>
          <cell r="I49">
            <v>11.299999999999999</v>
          </cell>
          <cell r="J49">
            <v>12898.230088495577</v>
          </cell>
          <cell r="K49">
            <v>874500</v>
          </cell>
          <cell r="L49">
            <v>145750</v>
          </cell>
        </row>
        <row r="50">
          <cell r="C50" t="str">
            <v>Pipa dia. 4", t= 6 mm ( SCH 40 )</v>
          </cell>
          <cell r="E50">
            <v>6</v>
          </cell>
          <cell r="F50" t="str">
            <v>m</v>
          </cell>
          <cell r="G50" t="str">
            <v>Btg</v>
          </cell>
          <cell r="H50">
            <v>96</v>
          </cell>
          <cell r="I50">
            <v>16</v>
          </cell>
          <cell r="J50">
            <v>12979.166666666666</v>
          </cell>
          <cell r="K50">
            <v>1246000</v>
          </cell>
          <cell r="L50">
            <v>207666.66666666666</v>
          </cell>
        </row>
        <row r="51">
          <cell r="C51" t="str">
            <v>Pipa dia. 5", t= 6.6 mm ( SCH 40 )</v>
          </cell>
          <cell r="E51">
            <v>6</v>
          </cell>
          <cell r="F51" t="str">
            <v>m</v>
          </cell>
          <cell r="G51" t="str">
            <v>Btg</v>
          </cell>
          <cell r="H51">
            <v>130.19999999999999</v>
          </cell>
          <cell r="I51">
            <v>21.7</v>
          </cell>
          <cell r="J51">
            <v>12953.1490015361</v>
          </cell>
          <cell r="K51">
            <v>1686500</v>
          </cell>
          <cell r="L51">
            <v>281083.33333333337</v>
          </cell>
        </row>
        <row r="52">
          <cell r="C52" t="str">
            <v>Pipa dia. 6", t= 7.1 mm ( SCH 40 )</v>
          </cell>
          <cell r="E52">
            <v>6</v>
          </cell>
          <cell r="F52" t="str">
            <v>m</v>
          </cell>
          <cell r="G52" t="str">
            <v>Btg</v>
          </cell>
          <cell r="H52">
            <v>166.2</v>
          </cell>
          <cell r="I52">
            <v>27.7</v>
          </cell>
          <cell r="J52">
            <v>13179.903730445247</v>
          </cell>
          <cell r="K52">
            <v>2190500</v>
          </cell>
          <cell r="L52">
            <v>365083.33333333331</v>
          </cell>
        </row>
        <row r="53">
          <cell r="C53" t="str">
            <v>Pipa dia. 8", t= 8.2 mm ( SCH 40 )</v>
          </cell>
          <cell r="E53">
            <v>6</v>
          </cell>
          <cell r="F53" t="str">
            <v>m</v>
          </cell>
          <cell r="G53" t="str">
            <v>Btg</v>
          </cell>
          <cell r="H53">
            <v>252.6</v>
          </cell>
          <cell r="I53">
            <v>42.1</v>
          </cell>
          <cell r="J53">
            <v>13058.194774346794</v>
          </cell>
          <cell r="K53">
            <v>3298500</v>
          </cell>
          <cell r="L53">
            <v>549750</v>
          </cell>
        </row>
        <row r="54">
          <cell r="C54" t="str">
            <v>Pipa dia. 10", t= 9.3 mm ( SCH 40 )</v>
          </cell>
          <cell r="E54">
            <v>6</v>
          </cell>
          <cell r="F54" t="str">
            <v>m</v>
          </cell>
          <cell r="G54" t="str">
            <v>Btg</v>
          </cell>
          <cell r="H54">
            <v>355.2</v>
          </cell>
          <cell r="I54">
            <v>59.199999999999996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Pipa dia. 12", t= 10.3 mm ( SCH 40 )</v>
          </cell>
          <cell r="E55">
            <v>6</v>
          </cell>
          <cell r="F55" t="str">
            <v>m</v>
          </cell>
          <cell r="G55" t="str">
            <v>Btg</v>
          </cell>
          <cell r="H55">
            <v>469.8</v>
          </cell>
          <cell r="I55">
            <v>78.3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Pipa dia. 14", t= 11.1 mm ( SCH 40 )</v>
          </cell>
          <cell r="E56">
            <v>6</v>
          </cell>
          <cell r="F56" t="str">
            <v>m</v>
          </cell>
          <cell r="G56" t="str">
            <v>Btg</v>
          </cell>
          <cell r="H56">
            <v>565.79999999999995</v>
          </cell>
          <cell r="I56">
            <v>94.3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Pipa dia. 16", t= 12.7 mm ( SCH 40 )</v>
          </cell>
          <cell r="E57">
            <v>6</v>
          </cell>
          <cell r="F57" t="str">
            <v>m</v>
          </cell>
          <cell r="G57" t="str">
            <v>Btg</v>
          </cell>
          <cell r="H57">
            <v>738</v>
          </cell>
          <cell r="I57">
            <v>123</v>
          </cell>
          <cell r="J57">
            <v>0</v>
          </cell>
          <cell r="K57">
            <v>0</v>
          </cell>
          <cell r="L57">
            <v>0</v>
          </cell>
        </row>
        <row r="59">
          <cell r="C59" t="str">
            <v>PIPA SCHEDULE 80</v>
          </cell>
        </row>
        <row r="60">
          <cell r="C60" t="str">
            <v>Pipa dia. 1/2" ( Sch 80 )</v>
          </cell>
          <cell r="E60">
            <v>6</v>
          </cell>
          <cell r="F60" t="str">
            <v>m</v>
          </cell>
          <cell r="G60" t="str">
            <v>Btg</v>
          </cell>
          <cell r="H60">
            <v>9.84</v>
          </cell>
          <cell r="I60">
            <v>1.64</v>
          </cell>
          <cell r="K60">
            <v>0</v>
          </cell>
          <cell r="L60">
            <v>0</v>
          </cell>
        </row>
        <row r="61">
          <cell r="C61" t="str">
            <v>Pipa dia. 3/4" ( Sch 80 )</v>
          </cell>
          <cell r="E61">
            <v>6</v>
          </cell>
          <cell r="F61" t="str">
            <v>m</v>
          </cell>
          <cell r="G61" t="str">
            <v>Btg</v>
          </cell>
          <cell r="H61">
            <v>13.44</v>
          </cell>
          <cell r="I61">
            <v>2.2399999999999998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Pipa dia. 1" ( Sch 80 )</v>
          </cell>
          <cell r="E62">
            <v>6</v>
          </cell>
          <cell r="F62" t="str">
            <v>m</v>
          </cell>
          <cell r="G62" t="str">
            <v>Btg</v>
          </cell>
          <cell r="H62">
            <v>19.62</v>
          </cell>
          <cell r="I62">
            <v>3.27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Pipa dia. 1 1/4" ( Sch 80 )</v>
          </cell>
          <cell r="E63">
            <v>6</v>
          </cell>
          <cell r="F63" t="str">
            <v>m</v>
          </cell>
          <cell r="G63" t="str">
            <v>Btg</v>
          </cell>
          <cell r="H63">
            <v>27.42</v>
          </cell>
          <cell r="I63">
            <v>4.57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Pipa dia. 1 1/2" ( Sch 80 )</v>
          </cell>
          <cell r="E64">
            <v>6</v>
          </cell>
          <cell r="F64" t="str">
            <v>m</v>
          </cell>
          <cell r="G64" t="str">
            <v>Btg</v>
          </cell>
          <cell r="H64">
            <v>32.82</v>
          </cell>
          <cell r="I64">
            <v>5.47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Pipa dia. 2" ( Sch 80 )</v>
          </cell>
          <cell r="E65">
            <v>6</v>
          </cell>
          <cell r="F65" t="str">
            <v>m</v>
          </cell>
          <cell r="G65" t="str">
            <v>Btg</v>
          </cell>
          <cell r="H65">
            <v>44.76</v>
          </cell>
          <cell r="I65">
            <v>7.46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Pipa dia. 2 1/2" ( Sch 80 )</v>
          </cell>
          <cell r="E66">
            <v>6</v>
          </cell>
          <cell r="F66" t="str">
            <v>m</v>
          </cell>
          <cell r="G66" t="str">
            <v>Btg</v>
          </cell>
          <cell r="H66">
            <v>72</v>
          </cell>
          <cell r="I66">
            <v>12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Pipa dia. 3" ( Sch 80 )</v>
          </cell>
          <cell r="E67">
            <v>6</v>
          </cell>
          <cell r="F67" t="str">
            <v>m</v>
          </cell>
          <cell r="G67" t="str">
            <v>Btg</v>
          </cell>
          <cell r="H67">
            <v>91.8</v>
          </cell>
          <cell r="I67">
            <v>15.299999999999999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Pipa dia. 4" ( Sch 80 )</v>
          </cell>
          <cell r="E68">
            <v>6</v>
          </cell>
          <cell r="F68" t="str">
            <v>m</v>
          </cell>
          <cell r="G68" t="str">
            <v>Btg</v>
          </cell>
          <cell r="H68">
            <v>134.4</v>
          </cell>
          <cell r="I68">
            <v>22.400000000000002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Pipa dia. 5" ( Sch 80 )</v>
          </cell>
          <cell r="E69">
            <v>6</v>
          </cell>
          <cell r="F69" t="str">
            <v>m</v>
          </cell>
          <cell r="G69" t="str">
            <v>Btg</v>
          </cell>
          <cell r="H69">
            <v>183</v>
          </cell>
          <cell r="I69">
            <v>30.5</v>
          </cell>
          <cell r="J69">
            <v>0</v>
          </cell>
          <cell r="K69">
            <v>0</v>
          </cell>
          <cell r="L69">
            <v>0</v>
          </cell>
        </row>
        <row r="70">
          <cell r="C70" t="str">
            <v>Pipa dia. 6" ( Sch 80 )</v>
          </cell>
          <cell r="E70">
            <v>6</v>
          </cell>
          <cell r="F70" t="str">
            <v>m</v>
          </cell>
          <cell r="G70" t="str">
            <v>Btg</v>
          </cell>
          <cell r="H70">
            <v>250.8</v>
          </cell>
          <cell r="I70">
            <v>41.800000000000004</v>
          </cell>
          <cell r="J70">
            <v>0</v>
          </cell>
          <cell r="K70">
            <v>0</v>
          </cell>
          <cell r="L70">
            <v>0</v>
          </cell>
        </row>
        <row r="71">
          <cell r="C71" t="str">
            <v>Pipa dia. 8" ( Sch 80 )</v>
          </cell>
          <cell r="E71">
            <v>6</v>
          </cell>
          <cell r="F71" t="str">
            <v>m</v>
          </cell>
          <cell r="G71" t="str">
            <v>Btg</v>
          </cell>
          <cell r="H71">
            <v>382.8</v>
          </cell>
          <cell r="I71">
            <v>63.800000000000004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Pipa dia. 9" ( Sch 80 )</v>
          </cell>
          <cell r="E72">
            <v>6</v>
          </cell>
          <cell r="F72" t="str">
            <v>m</v>
          </cell>
          <cell r="G72" t="str">
            <v>Btg</v>
          </cell>
          <cell r="H72">
            <v>563.4</v>
          </cell>
          <cell r="I72">
            <v>93.899999999999991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Pipa dia. 12" ( Sch 80 )</v>
          </cell>
          <cell r="E73">
            <v>6</v>
          </cell>
          <cell r="F73" t="str">
            <v>m</v>
          </cell>
          <cell r="G73" t="str">
            <v>Btg</v>
          </cell>
          <cell r="H73">
            <v>774</v>
          </cell>
          <cell r="I73">
            <v>129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Pipa dia. 14" ( Sch 80 )</v>
          </cell>
          <cell r="E74">
            <v>6</v>
          </cell>
          <cell r="F74" t="str">
            <v>m</v>
          </cell>
          <cell r="G74" t="str">
            <v>Btg</v>
          </cell>
          <cell r="H74">
            <v>948</v>
          </cell>
          <cell r="I74">
            <v>158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Pipa dia. 16" ( Sch 80 )</v>
          </cell>
          <cell r="E75">
            <v>6</v>
          </cell>
          <cell r="F75" t="str">
            <v>m</v>
          </cell>
          <cell r="G75" t="str">
            <v>Btg</v>
          </cell>
          <cell r="H75">
            <v>1218</v>
          </cell>
          <cell r="I75">
            <v>203</v>
          </cell>
          <cell r="J75">
            <v>0</v>
          </cell>
          <cell r="K75">
            <v>0</v>
          </cell>
          <cell r="L75">
            <v>0</v>
          </cell>
        </row>
        <row r="77">
          <cell r="C77" t="str">
            <v>PIPA HITAM MEDIUM (harga pertanggal 10 September 2004)</v>
          </cell>
        </row>
        <row r="78">
          <cell r="C78" t="str">
            <v>Pipa dia. 1/2" ( Med )</v>
          </cell>
          <cell r="E78">
            <v>6</v>
          </cell>
          <cell r="F78" t="str">
            <v>m</v>
          </cell>
          <cell r="G78" t="str">
            <v>Btg</v>
          </cell>
          <cell r="H78">
            <v>7.32</v>
          </cell>
          <cell r="I78">
            <v>1.22</v>
          </cell>
          <cell r="J78">
            <v>8469.9453551912557</v>
          </cell>
          <cell r="K78">
            <v>61999.999999999993</v>
          </cell>
          <cell r="L78">
            <v>10333.333333333332</v>
          </cell>
        </row>
        <row r="79">
          <cell r="C79" t="str">
            <v>Pipa dia. 3/4" ( Med )</v>
          </cell>
          <cell r="E79">
            <v>6</v>
          </cell>
          <cell r="F79" t="str">
            <v>m</v>
          </cell>
          <cell r="G79" t="str">
            <v>Btg</v>
          </cell>
          <cell r="H79">
            <v>9.48</v>
          </cell>
          <cell r="I79">
            <v>1.58</v>
          </cell>
          <cell r="J79">
            <v>8199.0794016110467</v>
          </cell>
          <cell r="K79">
            <v>77727.272727272721</v>
          </cell>
          <cell r="L79">
            <v>12954.545454545454</v>
          </cell>
        </row>
        <row r="80">
          <cell r="C80" t="str">
            <v>Pipa dia. 1" ( Med )</v>
          </cell>
          <cell r="E80">
            <v>6</v>
          </cell>
          <cell r="F80" t="str">
            <v>m</v>
          </cell>
          <cell r="G80" t="str">
            <v>Btg</v>
          </cell>
          <cell r="H80">
            <v>14.64</v>
          </cell>
          <cell r="I80">
            <v>2.44</v>
          </cell>
          <cell r="J80">
            <v>8438.8971684053631</v>
          </cell>
          <cell r="K80">
            <v>123545.45454545453</v>
          </cell>
          <cell r="L80">
            <v>20590.909090909085</v>
          </cell>
        </row>
        <row r="81">
          <cell r="C81" t="str">
            <v>Pipa dia. 1 1/4" ( Med )</v>
          </cell>
          <cell r="E81">
            <v>6</v>
          </cell>
          <cell r="F81" t="str">
            <v>m</v>
          </cell>
          <cell r="G81" t="str">
            <v>Btg</v>
          </cell>
          <cell r="H81">
            <v>18.84</v>
          </cell>
          <cell r="I81">
            <v>3.14</v>
          </cell>
          <cell r="J81">
            <v>8420.1891526732288</v>
          </cell>
          <cell r="K81">
            <v>158636.36363636362</v>
          </cell>
          <cell r="L81">
            <v>26439.39393939394</v>
          </cell>
        </row>
        <row r="82">
          <cell r="C82" t="str">
            <v>Pipa dia. 1 1/2" ( Med )</v>
          </cell>
          <cell r="E82">
            <v>6</v>
          </cell>
          <cell r="F82" t="str">
            <v>m</v>
          </cell>
          <cell r="G82" t="str">
            <v>Btg</v>
          </cell>
          <cell r="H82">
            <v>21.72</v>
          </cell>
          <cell r="I82">
            <v>3.6199999999999997</v>
          </cell>
          <cell r="J82">
            <v>8266.3653105642061</v>
          </cell>
          <cell r="K82">
            <v>179545.45454545453</v>
          </cell>
          <cell r="L82">
            <v>29924.242424242424</v>
          </cell>
        </row>
        <row r="83">
          <cell r="C83" t="str">
            <v>Pipa dia. 2" ( Med )</v>
          </cell>
          <cell r="E83">
            <v>6</v>
          </cell>
          <cell r="F83" t="str">
            <v>m</v>
          </cell>
          <cell r="G83" t="str">
            <v>Btg</v>
          </cell>
          <cell r="H83">
            <v>30.54</v>
          </cell>
          <cell r="I83">
            <v>5.09</v>
          </cell>
          <cell r="J83">
            <v>8183.0088706316601</v>
          </cell>
          <cell r="K83">
            <v>249909.09090909088</v>
          </cell>
          <cell r="L83">
            <v>41651.515151515152</v>
          </cell>
        </row>
        <row r="84">
          <cell r="C84" t="str">
            <v>Pipa dia. 2 1/2" ( Med )</v>
          </cell>
          <cell r="E84">
            <v>6</v>
          </cell>
          <cell r="F84" t="str">
            <v>m</v>
          </cell>
          <cell r="G84" t="str">
            <v>Btg</v>
          </cell>
          <cell r="H84">
            <v>39.119999999999997</v>
          </cell>
          <cell r="I84">
            <v>6.52</v>
          </cell>
          <cell r="J84">
            <v>8249.6746607176046</v>
          </cell>
          <cell r="K84">
            <v>322727.27272727271</v>
          </cell>
          <cell r="L84">
            <v>53787.878787878777</v>
          </cell>
        </row>
        <row r="85">
          <cell r="C85" t="str">
            <v>Pipa dia. 3" ( Med )</v>
          </cell>
          <cell r="E85">
            <v>6</v>
          </cell>
          <cell r="F85" t="str">
            <v>m</v>
          </cell>
          <cell r="G85" t="str">
            <v>Btg</v>
          </cell>
          <cell r="H85">
            <v>50.82</v>
          </cell>
          <cell r="I85">
            <v>8.4700000000000006</v>
          </cell>
          <cell r="J85">
            <v>8497.0126292440327</v>
          </cell>
          <cell r="K85">
            <v>431818.18181818177</v>
          </cell>
          <cell r="L85">
            <v>71969.696969696961</v>
          </cell>
        </row>
        <row r="86">
          <cell r="C86" t="str">
            <v>Pipa dia. 4" ( Med )</v>
          </cell>
          <cell r="E86">
            <v>6</v>
          </cell>
          <cell r="F86" t="str">
            <v>m</v>
          </cell>
          <cell r="G86" t="str">
            <v>Btg</v>
          </cell>
          <cell r="H86">
            <v>72.599999999999994</v>
          </cell>
          <cell r="I86">
            <v>12.1</v>
          </cell>
          <cell r="J86">
            <v>8915.6023040320561</v>
          </cell>
          <cell r="K86">
            <v>647272.72727272718</v>
          </cell>
          <cell r="L86">
            <v>107878.78787878787</v>
          </cell>
        </row>
        <row r="87">
          <cell r="C87" t="str">
            <v>Pipa dia. 5" ( Med )</v>
          </cell>
          <cell r="E87">
            <v>6</v>
          </cell>
          <cell r="F87" t="str">
            <v>m</v>
          </cell>
          <cell r="G87" t="str">
            <v>Btg</v>
          </cell>
          <cell r="H87">
            <v>97.2</v>
          </cell>
          <cell r="I87">
            <v>16.2</v>
          </cell>
          <cell r="J87">
            <v>8417.5084175084157</v>
          </cell>
          <cell r="K87">
            <v>818181.81818181812</v>
          </cell>
          <cell r="L87">
            <v>136363.63636363632</v>
          </cell>
        </row>
        <row r="88">
          <cell r="C88" t="str">
            <v>Pipa dia. 6" ( Med )</v>
          </cell>
          <cell r="E88">
            <v>6</v>
          </cell>
          <cell r="F88" t="str">
            <v>m</v>
          </cell>
          <cell r="G88" t="str">
            <v>Btg</v>
          </cell>
          <cell r="H88">
            <v>115.2</v>
          </cell>
          <cell r="I88">
            <v>19.2</v>
          </cell>
          <cell r="J88">
            <v>8333.3333333333321</v>
          </cell>
          <cell r="K88">
            <v>959999.99999999988</v>
          </cell>
          <cell r="L88">
            <v>159999.99999999997</v>
          </cell>
        </row>
        <row r="90">
          <cell r="C90" t="str">
            <v>PIPA GALVANIS MEDIUM (harga pertanggal 10 September 2004)</v>
          </cell>
        </row>
        <row r="91">
          <cell r="C91" t="str">
            <v>Pipa dia. 1/2" ( GLV )</v>
          </cell>
          <cell r="E91">
            <v>6</v>
          </cell>
          <cell r="F91" t="str">
            <v>m</v>
          </cell>
          <cell r="G91" t="str">
            <v>Btg</v>
          </cell>
          <cell r="H91">
            <v>7.32</v>
          </cell>
          <cell r="I91">
            <v>1.22</v>
          </cell>
          <cell r="J91">
            <v>10556.383507203178</v>
          </cell>
          <cell r="K91">
            <v>77272.727272727265</v>
          </cell>
          <cell r="L91">
            <v>12878.787878787876</v>
          </cell>
        </row>
        <row r="92">
          <cell r="C92" t="str">
            <v>Pipa dia. 3/4" ( GLV )</v>
          </cell>
          <cell r="E92">
            <v>6</v>
          </cell>
          <cell r="F92" t="str">
            <v>m</v>
          </cell>
          <cell r="G92" t="str">
            <v>Btg</v>
          </cell>
          <cell r="H92">
            <v>9.48</v>
          </cell>
          <cell r="I92">
            <v>1.58</v>
          </cell>
          <cell r="J92">
            <v>10164.940544687379</v>
          </cell>
          <cell r="K92">
            <v>96363.636363636353</v>
          </cell>
          <cell r="L92">
            <v>16060.60606060606</v>
          </cell>
        </row>
        <row r="93">
          <cell r="C93" t="str">
            <v>Pipa dia. 1" ( GLV )</v>
          </cell>
          <cell r="E93">
            <v>6</v>
          </cell>
          <cell r="F93" t="str">
            <v>m</v>
          </cell>
          <cell r="G93" t="str">
            <v>Btg</v>
          </cell>
          <cell r="H93">
            <v>14.64</v>
          </cell>
          <cell r="I93">
            <v>2.44</v>
          </cell>
          <cell r="J93">
            <v>10742.672627918528</v>
          </cell>
          <cell r="K93">
            <v>157272.72727272726</v>
          </cell>
          <cell r="L93">
            <v>26212.121212121208</v>
          </cell>
        </row>
        <row r="94">
          <cell r="C94" t="str">
            <v>Pipa dia. 1 1/4" ( GLV )</v>
          </cell>
          <cell r="E94">
            <v>6</v>
          </cell>
          <cell r="F94" t="str">
            <v>m</v>
          </cell>
          <cell r="G94" t="str">
            <v>Btg</v>
          </cell>
          <cell r="H94">
            <v>18.84</v>
          </cell>
          <cell r="I94">
            <v>3.14</v>
          </cell>
          <cell r="J94">
            <v>11098.243582320016</v>
          </cell>
          <cell r="K94">
            <v>209090.90909090909</v>
          </cell>
          <cell r="L94">
            <v>34848.484848484848</v>
          </cell>
        </row>
        <row r="95">
          <cell r="C95" t="str">
            <v>Pipa dia. 1 1/2" ( GLV )</v>
          </cell>
          <cell r="E95">
            <v>6</v>
          </cell>
          <cell r="F95" t="str">
            <v>m</v>
          </cell>
          <cell r="G95" t="str">
            <v>Btg</v>
          </cell>
          <cell r="H95">
            <v>21.72</v>
          </cell>
          <cell r="I95">
            <v>3.6199999999999997</v>
          </cell>
          <cell r="J95">
            <v>11070.65126402143</v>
          </cell>
          <cell r="K95">
            <v>240454.54545454544</v>
          </cell>
          <cell r="L95">
            <v>40075.757575757569</v>
          </cell>
        </row>
        <row r="96">
          <cell r="C96" t="str">
            <v>Pipa dia. 2" ( GLV )</v>
          </cell>
          <cell r="E96">
            <v>6</v>
          </cell>
          <cell r="F96" t="str">
            <v>m</v>
          </cell>
          <cell r="G96" t="str">
            <v>Btg</v>
          </cell>
          <cell r="H96">
            <v>30.54</v>
          </cell>
          <cell r="I96">
            <v>5.09</v>
          </cell>
          <cell r="J96">
            <v>10061.320473894148</v>
          </cell>
          <cell r="K96">
            <v>307272.72727272724</v>
          </cell>
          <cell r="L96">
            <v>51212.121212121208</v>
          </cell>
        </row>
        <row r="97">
          <cell r="C97" t="str">
            <v>Pipa dia. 2 1/2" ( GLV )</v>
          </cell>
          <cell r="E97">
            <v>6</v>
          </cell>
          <cell r="F97" t="str">
            <v>m</v>
          </cell>
          <cell r="G97" t="str">
            <v>Btg</v>
          </cell>
          <cell r="H97">
            <v>39.119999999999997</v>
          </cell>
          <cell r="I97">
            <v>6.52</v>
          </cell>
          <cell r="J97">
            <v>11293.920803123256</v>
          </cell>
          <cell r="K97">
            <v>441818.18181818177</v>
          </cell>
          <cell r="L97">
            <v>73636.363636363618</v>
          </cell>
        </row>
        <row r="98">
          <cell r="C98" t="str">
            <v>Pipa dia. 3" ( GLV )</v>
          </cell>
          <cell r="E98">
            <v>6</v>
          </cell>
          <cell r="F98" t="str">
            <v>m</v>
          </cell>
          <cell r="G98" t="str">
            <v>Btg</v>
          </cell>
          <cell r="H98">
            <v>50.82</v>
          </cell>
          <cell r="I98">
            <v>8.4700000000000006</v>
          </cell>
          <cell r="J98">
            <v>11162.391327680582</v>
          </cell>
          <cell r="K98">
            <v>567272.72727272718</v>
          </cell>
          <cell r="L98">
            <v>94545.45454545453</v>
          </cell>
        </row>
        <row r="99">
          <cell r="C99" t="str">
            <v>Pipa dia. 4" ( GLV )</v>
          </cell>
          <cell r="E99">
            <v>6</v>
          </cell>
          <cell r="F99" t="str">
            <v>m</v>
          </cell>
          <cell r="G99" t="str">
            <v>Btg</v>
          </cell>
          <cell r="H99">
            <v>72.599999999999994</v>
          </cell>
          <cell r="I99">
            <v>12.1</v>
          </cell>
          <cell r="J99">
            <v>10712.496869521663</v>
          </cell>
          <cell r="K99">
            <v>777727.27272727271</v>
          </cell>
          <cell r="L99">
            <v>129621.21212121211</v>
          </cell>
        </row>
        <row r="100">
          <cell r="C100" t="str">
            <v>Pipa dia. 5" ( GLV )</v>
          </cell>
          <cell r="E100">
            <v>6</v>
          </cell>
          <cell r="F100" t="str">
            <v>m</v>
          </cell>
          <cell r="G100" t="str">
            <v>Btg</v>
          </cell>
          <cell r="H100">
            <v>97.2</v>
          </cell>
          <cell r="I100">
            <v>16.2</v>
          </cell>
          <cell r="J100">
            <v>10288.065843621398</v>
          </cell>
          <cell r="K100">
            <v>999999.99999999988</v>
          </cell>
          <cell r="L100">
            <v>166666.66666666663</v>
          </cell>
        </row>
        <row r="101">
          <cell r="C101" t="str">
            <v>Pipa dia. 6" ( GLV )</v>
          </cell>
          <cell r="E101">
            <v>6</v>
          </cell>
          <cell r="F101" t="str">
            <v>m</v>
          </cell>
          <cell r="G101" t="str">
            <v>Btg</v>
          </cell>
          <cell r="H101">
            <v>115.2</v>
          </cell>
          <cell r="I101">
            <v>19.2</v>
          </cell>
          <cell r="J101">
            <v>10495.580808080807</v>
          </cell>
          <cell r="K101">
            <v>1209090.9090909089</v>
          </cell>
          <cell r="L101">
            <v>201515.15151515149</v>
          </cell>
        </row>
        <row r="103">
          <cell r="C103" t="str">
            <v>PIPA SS400</v>
          </cell>
        </row>
        <row r="104">
          <cell r="C104" t="str">
            <v>Pipa dia. 1/2" ( SS400 )</v>
          </cell>
          <cell r="E104">
            <v>6</v>
          </cell>
          <cell r="F104" t="str">
            <v>m</v>
          </cell>
          <cell r="G104" t="str">
            <v>Btg</v>
          </cell>
          <cell r="I104">
            <v>0</v>
          </cell>
          <cell r="K104">
            <v>0</v>
          </cell>
          <cell r="L104">
            <v>0</v>
          </cell>
        </row>
        <row r="105">
          <cell r="C105" t="str">
            <v>Pipa dia. 3/4" ( SS400 )</v>
          </cell>
          <cell r="E105">
            <v>6</v>
          </cell>
          <cell r="F105" t="str">
            <v>m</v>
          </cell>
          <cell r="G105" t="str">
            <v>Btg</v>
          </cell>
          <cell r="I105">
            <v>0</v>
          </cell>
          <cell r="K105">
            <v>0</v>
          </cell>
          <cell r="L105">
            <v>0</v>
          </cell>
        </row>
        <row r="106">
          <cell r="C106" t="str">
            <v>Pipa dia. 1" ( SS400 )</v>
          </cell>
          <cell r="E106">
            <v>6</v>
          </cell>
          <cell r="F106" t="str">
            <v>m</v>
          </cell>
          <cell r="G106" t="str">
            <v>Btg</v>
          </cell>
          <cell r="I106">
            <v>0</v>
          </cell>
          <cell r="K106">
            <v>0</v>
          </cell>
          <cell r="L106">
            <v>0</v>
          </cell>
        </row>
        <row r="107">
          <cell r="C107" t="str">
            <v>Pipa dia. 1 1/4" ( SS400 )</v>
          </cell>
          <cell r="E107">
            <v>6</v>
          </cell>
          <cell r="F107" t="str">
            <v>m</v>
          </cell>
          <cell r="G107" t="str">
            <v>Btg</v>
          </cell>
          <cell r="H107">
            <v>18.75</v>
          </cell>
          <cell r="I107">
            <v>3.125</v>
          </cell>
          <cell r="J107">
            <v>8251.4666666666672</v>
          </cell>
          <cell r="K107">
            <v>154715</v>
          </cell>
          <cell r="L107">
            <v>25785.833333333336</v>
          </cell>
        </row>
        <row r="108">
          <cell r="C108" t="str">
            <v>Pipa dia. 1 1/2" ( SS400 )</v>
          </cell>
          <cell r="E108">
            <v>6</v>
          </cell>
          <cell r="F108" t="str">
            <v>m</v>
          </cell>
          <cell r="G108" t="str">
            <v>Btg</v>
          </cell>
          <cell r="H108">
            <v>21.35</v>
          </cell>
          <cell r="I108">
            <v>3.5583333333333336</v>
          </cell>
          <cell r="J108">
            <v>11909.728337236535</v>
          </cell>
          <cell r="K108">
            <v>254272.7</v>
          </cell>
          <cell r="L108">
            <v>42378.78333333334</v>
          </cell>
        </row>
        <row r="109">
          <cell r="C109" t="str">
            <v>Pipa dia. 2" ( SS400 )</v>
          </cell>
          <cell r="E109">
            <v>6</v>
          </cell>
          <cell r="F109" t="str">
            <v>m</v>
          </cell>
          <cell r="G109" t="str">
            <v>Btg</v>
          </cell>
          <cell r="H109">
            <v>26.99</v>
          </cell>
          <cell r="I109">
            <v>4.4983333333333331</v>
          </cell>
          <cell r="J109">
            <v>9216.9321971100417</v>
          </cell>
          <cell r="K109">
            <v>248765</v>
          </cell>
          <cell r="L109">
            <v>41460.833333333336</v>
          </cell>
        </row>
        <row r="110">
          <cell r="C110" t="str">
            <v>Pipa dia. 2 1/2" ( SS400 )</v>
          </cell>
          <cell r="E110">
            <v>6</v>
          </cell>
          <cell r="F110" t="str">
            <v>m</v>
          </cell>
          <cell r="G110" t="str">
            <v>Btg</v>
          </cell>
          <cell r="H110">
            <v>38.619999999999997</v>
          </cell>
          <cell r="I110">
            <v>6.4366666666666665</v>
          </cell>
          <cell r="J110">
            <v>14060.072501294668</v>
          </cell>
          <cell r="K110">
            <v>543000</v>
          </cell>
          <cell r="L110">
            <v>90500.000000000015</v>
          </cell>
        </row>
        <row r="111">
          <cell r="C111" t="str">
            <v>Pipa dia. 4" ( SS400 )</v>
          </cell>
          <cell r="E111">
            <v>6</v>
          </cell>
          <cell r="F111" t="str">
            <v>m</v>
          </cell>
          <cell r="G111" t="str">
            <v>Btg</v>
          </cell>
          <cell r="H111">
            <v>58.97</v>
          </cell>
          <cell r="I111">
            <v>9.8283333333333331</v>
          </cell>
          <cell r="J111">
            <v>10227.74292012888</v>
          </cell>
          <cell r="K111">
            <v>603130</v>
          </cell>
          <cell r="L111">
            <v>100521.66666666667</v>
          </cell>
        </row>
        <row r="112">
          <cell r="C112" t="str">
            <v>Pipa dia. 5" ( SS400 )</v>
          </cell>
          <cell r="E112">
            <v>6</v>
          </cell>
          <cell r="F112" t="str">
            <v>m</v>
          </cell>
          <cell r="G112" t="str">
            <v>Btg</v>
          </cell>
          <cell r="H112">
            <v>91.08</v>
          </cell>
          <cell r="I112">
            <v>15.18</v>
          </cell>
          <cell r="J112">
            <v>8250.6038647342993</v>
          </cell>
          <cell r="K112">
            <v>751465</v>
          </cell>
          <cell r="L112">
            <v>125244.16666666666</v>
          </cell>
        </row>
        <row r="113">
          <cell r="C113" t="str">
            <v>Pipa dia. 6" ( SS400 )</v>
          </cell>
          <cell r="E113">
            <v>6</v>
          </cell>
          <cell r="F113" t="str">
            <v>m</v>
          </cell>
          <cell r="G113" t="str">
            <v>Btg</v>
          </cell>
          <cell r="H113">
            <v>109.05</v>
          </cell>
          <cell r="I113">
            <v>18.175000000000001</v>
          </cell>
          <cell r="J113">
            <v>8251.2608895002286</v>
          </cell>
          <cell r="K113">
            <v>899800</v>
          </cell>
          <cell r="L113">
            <v>149966.66666666666</v>
          </cell>
        </row>
        <row r="114">
          <cell r="C114" t="str">
            <v>Pipa dia. 7" ( SS400 )</v>
          </cell>
          <cell r="E114">
            <v>6</v>
          </cell>
          <cell r="F114" t="str">
            <v>m</v>
          </cell>
          <cell r="G114" t="str">
            <v>Btg</v>
          </cell>
          <cell r="H114">
            <v>132.03</v>
          </cell>
          <cell r="I114">
            <v>22.004999999999999</v>
          </cell>
          <cell r="J114">
            <v>8249.7917140043937</v>
          </cell>
          <cell r="K114">
            <v>1089220</v>
          </cell>
          <cell r="L114">
            <v>181536.66666666669</v>
          </cell>
        </row>
        <row r="115">
          <cell r="C115" t="str">
            <v>Pipa dia. 8" ( SS400 )</v>
          </cell>
          <cell r="E115">
            <v>6</v>
          </cell>
          <cell r="F115" t="str">
            <v>m</v>
          </cell>
          <cell r="G115" t="str">
            <v>Btg</v>
          </cell>
          <cell r="H115">
            <v>152.19999999999999</v>
          </cell>
          <cell r="I115">
            <v>25.366666666666664</v>
          </cell>
          <cell r="J115">
            <v>10835.216819973719</v>
          </cell>
          <cell r="K115">
            <v>1649120</v>
          </cell>
          <cell r="L115">
            <v>274853.33333333331</v>
          </cell>
        </row>
        <row r="116">
          <cell r="C116" t="str">
            <v>Pipa dia. 10" ( SS400 )</v>
          </cell>
          <cell r="E116">
            <v>6</v>
          </cell>
          <cell r="F116" t="str">
            <v>m</v>
          </cell>
          <cell r="G116" t="str">
            <v>Btg</v>
          </cell>
          <cell r="H116">
            <v>180.48</v>
          </cell>
          <cell r="I116">
            <v>30.08</v>
          </cell>
          <cell r="J116">
            <v>11452.238475177306</v>
          </cell>
          <cell r="K116">
            <v>2066900</v>
          </cell>
          <cell r="L116">
            <v>344483.33333333337</v>
          </cell>
        </row>
        <row r="117">
          <cell r="C117" t="str">
            <v>Pipa dia. 12" ( SS400 )</v>
          </cell>
          <cell r="E117">
            <v>6</v>
          </cell>
          <cell r="F117" t="str">
            <v>m</v>
          </cell>
          <cell r="G117" t="str">
            <v>Btg</v>
          </cell>
          <cell r="H117">
            <v>282.22000000000003</v>
          </cell>
          <cell r="I117">
            <v>47.036666666666669</v>
          </cell>
          <cell r="J117">
            <v>0</v>
          </cell>
          <cell r="K117">
            <v>0</v>
          </cell>
          <cell r="L117">
            <v>0</v>
          </cell>
        </row>
        <row r="119">
          <cell r="C119" t="str">
            <v>PELAT M/S</v>
          </cell>
        </row>
        <row r="120">
          <cell r="C120" t="str">
            <v>Pelat M/s tebal 2 mm</v>
          </cell>
          <cell r="E120">
            <v>2.88</v>
          </cell>
          <cell r="F120" t="str">
            <v>m2</v>
          </cell>
          <cell r="G120" t="str">
            <v>Lbr</v>
          </cell>
          <cell r="H120">
            <v>46.7</v>
          </cell>
          <cell r="I120">
            <v>16.215277777777779</v>
          </cell>
          <cell r="J120">
            <v>6590.9089935760167</v>
          </cell>
          <cell r="K120">
            <v>307796</v>
          </cell>
          <cell r="L120">
            <v>106873.42013888889</v>
          </cell>
        </row>
        <row r="121">
          <cell r="C121" t="str">
            <v>Pelat M/s tebal 3 mm</v>
          </cell>
          <cell r="E121">
            <v>2.88</v>
          </cell>
          <cell r="F121" t="str">
            <v>m2</v>
          </cell>
          <cell r="G121" t="str">
            <v>Lbr</v>
          </cell>
          <cell r="H121">
            <v>70</v>
          </cell>
          <cell r="I121">
            <v>24.305555555555557</v>
          </cell>
          <cell r="J121">
            <v>6590.9089935760167</v>
          </cell>
          <cell r="K121">
            <v>461364</v>
          </cell>
          <cell r="L121">
            <v>160195.70470497262</v>
          </cell>
        </row>
        <row r="122">
          <cell r="C122" t="str">
            <v>Pelat M/s tebal 4 mm</v>
          </cell>
          <cell r="E122">
            <v>2.88</v>
          </cell>
          <cell r="F122" t="str">
            <v>m2</v>
          </cell>
          <cell r="G122" t="str">
            <v>Lbr</v>
          </cell>
          <cell r="H122">
            <v>93.5</v>
          </cell>
          <cell r="I122">
            <v>32.465277777777779</v>
          </cell>
          <cell r="J122">
            <v>6590.9089935760167</v>
          </cell>
          <cell r="K122">
            <v>616250</v>
          </cell>
          <cell r="L122">
            <v>213975.69128449916</v>
          </cell>
        </row>
        <row r="123">
          <cell r="C123" t="str">
            <v>Pelat M/s tebal 5 mm</v>
          </cell>
          <cell r="E123">
            <v>2.88</v>
          </cell>
          <cell r="F123" t="str">
            <v>m2</v>
          </cell>
          <cell r="G123" t="str">
            <v>Lbr</v>
          </cell>
          <cell r="H123">
            <v>117</v>
          </cell>
          <cell r="I123">
            <v>40.625</v>
          </cell>
          <cell r="J123">
            <v>6590.9089935760167</v>
          </cell>
          <cell r="K123">
            <v>771137</v>
          </cell>
          <cell r="L123">
            <v>267755.6778640257</v>
          </cell>
        </row>
        <row r="124">
          <cell r="C124" t="str">
            <v>Pelat M/s tebal 6 mm</v>
          </cell>
          <cell r="E124">
            <v>2.88</v>
          </cell>
          <cell r="F124" t="str">
            <v>m2</v>
          </cell>
          <cell r="G124" t="str">
            <v>Lbr</v>
          </cell>
          <cell r="H124">
            <v>140</v>
          </cell>
          <cell r="I124">
            <v>48.611111111111114</v>
          </cell>
          <cell r="J124">
            <v>6545.4544999999998</v>
          </cell>
          <cell r="K124">
            <v>916364</v>
          </cell>
          <cell r="L124">
            <v>318181.81597222225</v>
          </cell>
        </row>
        <row r="125">
          <cell r="C125" t="str">
            <v>Pelat M/s tebal 8 mm</v>
          </cell>
          <cell r="E125">
            <v>2.88</v>
          </cell>
          <cell r="F125" t="str">
            <v>m2</v>
          </cell>
          <cell r="G125" t="str">
            <v>Lbr</v>
          </cell>
          <cell r="H125">
            <v>187</v>
          </cell>
          <cell r="I125">
            <v>64.930555555555557</v>
          </cell>
          <cell r="J125">
            <v>6545.4544999999998</v>
          </cell>
          <cell r="K125">
            <v>1224000</v>
          </cell>
          <cell r="L125">
            <v>424999.99704861111</v>
          </cell>
        </row>
        <row r="126">
          <cell r="C126" t="str">
            <v>Pelat M/s tebal 10 mm</v>
          </cell>
          <cell r="E126">
            <v>2.88</v>
          </cell>
          <cell r="F126" t="str">
            <v>m2</v>
          </cell>
          <cell r="G126" t="str">
            <v>Lbr</v>
          </cell>
          <cell r="H126">
            <v>233.3</v>
          </cell>
          <cell r="I126">
            <v>81.006944444444457</v>
          </cell>
          <cell r="J126">
            <v>6545.4544999999998</v>
          </cell>
          <cell r="K126">
            <v>1527055</v>
          </cell>
          <cell r="L126">
            <v>530227.26904513896</v>
          </cell>
        </row>
        <row r="127">
          <cell r="C127" t="str">
            <v>Pelat M/s tebal 12 mm</v>
          </cell>
          <cell r="E127">
            <v>2.88</v>
          </cell>
          <cell r="F127" t="str">
            <v>m2</v>
          </cell>
          <cell r="G127" t="str">
            <v>Lbr</v>
          </cell>
          <cell r="H127">
            <v>280</v>
          </cell>
          <cell r="I127">
            <v>97.222222222222229</v>
          </cell>
          <cell r="J127">
            <v>6545.4544999999998</v>
          </cell>
          <cell r="K127">
            <v>1832728</v>
          </cell>
          <cell r="L127">
            <v>636363.6319444445</v>
          </cell>
        </row>
        <row r="128">
          <cell r="C128" t="str">
            <v>Pelat M/s tebal 15 mm</v>
          </cell>
          <cell r="E128">
            <v>2.88</v>
          </cell>
          <cell r="F128" t="str">
            <v>m2</v>
          </cell>
          <cell r="G128" t="str">
            <v>Lbr</v>
          </cell>
          <cell r="H128">
            <v>350</v>
          </cell>
          <cell r="I128">
            <v>121.52777777777779</v>
          </cell>
          <cell r="J128">
            <v>6545.4544999999998</v>
          </cell>
          <cell r="K128">
            <v>2290910</v>
          </cell>
          <cell r="L128">
            <v>795454.53993055562</v>
          </cell>
        </row>
        <row r="129">
          <cell r="C129" t="str">
            <v>Pelat M/s tebal 16 mm</v>
          </cell>
          <cell r="E129">
            <v>2.88</v>
          </cell>
          <cell r="F129" t="str">
            <v>m2</v>
          </cell>
          <cell r="G129" t="str">
            <v>Lbr</v>
          </cell>
          <cell r="H129">
            <v>373</v>
          </cell>
          <cell r="I129">
            <v>129.51388888888889</v>
          </cell>
          <cell r="J129">
            <v>6545.4544999999998</v>
          </cell>
          <cell r="K129">
            <v>2441455</v>
          </cell>
          <cell r="L129">
            <v>847727.26684027771</v>
          </cell>
        </row>
        <row r="130">
          <cell r="C130" t="str">
            <v>Pelat M/s tebal 19 mm</v>
          </cell>
          <cell r="E130">
            <v>2.88</v>
          </cell>
          <cell r="F130" t="str">
            <v>m2</v>
          </cell>
          <cell r="G130" t="str">
            <v>Lbr</v>
          </cell>
          <cell r="H130">
            <v>443</v>
          </cell>
          <cell r="I130">
            <v>153.81944444444446</v>
          </cell>
          <cell r="J130">
            <v>6545.4544999999998</v>
          </cell>
          <cell r="K130">
            <v>2899637</v>
          </cell>
          <cell r="L130">
            <v>1006818.1748263889</v>
          </cell>
        </row>
        <row r="131">
          <cell r="C131" t="str">
            <v>Pelat M/s tebal 20 mm</v>
          </cell>
          <cell r="E131">
            <v>2.88</v>
          </cell>
          <cell r="F131" t="str">
            <v>m2</v>
          </cell>
          <cell r="G131" t="str">
            <v>Lbr</v>
          </cell>
          <cell r="H131">
            <v>467</v>
          </cell>
          <cell r="I131">
            <v>162.15277777777777</v>
          </cell>
          <cell r="J131">
            <v>6545.4544999999998</v>
          </cell>
          <cell r="K131">
            <v>3056728</v>
          </cell>
          <cell r="L131">
            <v>1061363.6289930556</v>
          </cell>
        </row>
        <row r="132">
          <cell r="C132" t="str">
            <v>Pelat M/s tebal 22 mm</v>
          </cell>
          <cell r="E132">
            <v>2.88</v>
          </cell>
          <cell r="F132" t="str">
            <v>m2</v>
          </cell>
          <cell r="G132" t="str">
            <v>Lbr</v>
          </cell>
          <cell r="H132">
            <v>513</v>
          </cell>
          <cell r="I132">
            <v>178.125</v>
          </cell>
          <cell r="J132">
            <v>6545.4544999999998</v>
          </cell>
          <cell r="K132">
            <v>3357819</v>
          </cell>
          <cell r="L132">
            <v>1165909.0828125</v>
          </cell>
        </row>
        <row r="133">
          <cell r="C133" t="str">
            <v>Pelat M/s tebal 25 mm</v>
          </cell>
          <cell r="E133">
            <v>2.88</v>
          </cell>
          <cell r="F133" t="str">
            <v>m2</v>
          </cell>
          <cell r="G133" t="str">
            <v>Lbr</v>
          </cell>
          <cell r="H133">
            <v>583</v>
          </cell>
          <cell r="I133">
            <v>202.43055555555557</v>
          </cell>
          <cell r="J133">
            <v>6545.4544999999998</v>
          </cell>
          <cell r="K133">
            <v>3816000</v>
          </cell>
          <cell r="L133">
            <v>1324999.9907986112</v>
          </cell>
        </row>
        <row r="135">
          <cell r="C135" t="str">
            <v>PELAT BORDES</v>
          </cell>
        </row>
        <row r="136">
          <cell r="C136" t="str">
            <v>Pelat Bordes 3,2 mm</v>
          </cell>
          <cell r="E136">
            <v>2.88</v>
          </cell>
          <cell r="F136" t="str">
            <v>m2</v>
          </cell>
          <cell r="G136" t="str">
            <v>Lbr</v>
          </cell>
          <cell r="H136">
            <v>79.599999999999994</v>
          </cell>
          <cell r="I136">
            <v>27.638888888888889</v>
          </cell>
          <cell r="J136">
            <v>6106.7395728643214</v>
          </cell>
          <cell r="K136">
            <v>486096.47</v>
          </cell>
          <cell r="L136">
            <v>168783.49652777778</v>
          </cell>
        </row>
        <row r="138">
          <cell r="C138" t="str">
            <v>PELAT EXPANDED</v>
          </cell>
        </row>
        <row r="139">
          <cell r="C139" t="str">
            <v>Pelat Expanded tebal 5 mm</v>
          </cell>
          <cell r="E139">
            <v>2.88</v>
          </cell>
          <cell r="F139" t="str">
            <v>m2</v>
          </cell>
          <cell r="G139" t="str">
            <v>Lbr</v>
          </cell>
          <cell r="H139">
            <v>60</v>
          </cell>
          <cell r="I139">
            <v>20.833333333333336</v>
          </cell>
          <cell r="J139">
            <v>6286</v>
          </cell>
          <cell r="K139">
            <v>377160</v>
          </cell>
          <cell r="L139">
            <v>130958.33333333334</v>
          </cell>
        </row>
        <row r="142">
          <cell r="C142" t="str">
            <v>BOLTS HTB 8.8</v>
          </cell>
        </row>
        <row r="144">
          <cell r="C144" t="str">
            <v>Bolt and Nuts M10-20 mm</v>
          </cell>
          <cell r="E144">
            <v>1</v>
          </cell>
          <cell r="F144" t="str">
            <v>Bh</v>
          </cell>
          <cell r="G144" t="str">
            <v>Bh</v>
          </cell>
          <cell r="H144">
            <v>0.04</v>
          </cell>
          <cell r="I144">
            <v>0.04</v>
          </cell>
          <cell r="K144">
            <v>648.70000000000005</v>
          </cell>
          <cell r="L144">
            <v>649</v>
          </cell>
        </row>
        <row r="145">
          <cell r="C145" t="str">
            <v>Bolt and Nuts M10-25 mm</v>
          </cell>
          <cell r="E145">
            <v>1</v>
          </cell>
          <cell r="F145" t="str">
            <v>Bh</v>
          </cell>
          <cell r="G145" t="str">
            <v>Bh</v>
          </cell>
          <cell r="H145">
            <v>4.3000000000000003E-2</v>
          </cell>
          <cell r="I145">
            <v>4.3000000000000003E-2</v>
          </cell>
          <cell r="K145">
            <v>687.7</v>
          </cell>
          <cell r="L145">
            <v>688</v>
          </cell>
        </row>
        <row r="146">
          <cell r="C146" t="str">
            <v>Bolt and Nuts M10-30 mm</v>
          </cell>
          <cell r="E146">
            <v>1</v>
          </cell>
          <cell r="F146" t="str">
            <v>Bh</v>
          </cell>
          <cell r="G146" t="str">
            <v>Bh</v>
          </cell>
          <cell r="H146">
            <v>4.6000000000000006E-2</v>
          </cell>
          <cell r="I146">
            <v>4.6000000000000006E-2</v>
          </cell>
          <cell r="K146">
            <v>720.2</v>
          </cell>
          <cell r="L146">
            <v>721</v>
          </cell>
        </row>
        <row r="147">
          <cell r="C147" t="str">
            <v>Bolt and Nuts M10-35 mm</v>
          </cell>
          <cell r="E147">
            <v>1</v>
          </cell>
          <cell r="F147" t="str">
            <v>Bh</v>
          </cell>
          <cell r="G147" t="str">
            <v>Bh</v>
          </cell>
          <cell r="H147">
            <v>4.9000000000000009E-2</v>
          </cell>
          <cell r="I147">
            <v>4.9000000000000009E-2</v>
          </cell>
          <cell r="K147">
            <v>752.7</v>
          </cell>
          <cell r="L147">
            <v>753</v>
          </cell>
        </row>
        <row r="148">
          <cell r="C148" t="str">
            <v>Bolt and Nuts M10-40 mm</v>
          </cell>
          <cell r="E148">
            <v>1</v>
          </cell>
          <cell r="F148" t="str">
            <v>Bh</v>
          </cell>
          <cell r="G148" t="str">
            <v>Bh</v>
          </cell>
          <cell r="H148">
            <v>5.2000000000000011E-2</v>
          </cell>
          <cell r="I148">
            <v>5.2000000000000011E-2</v>
          </cell>
          <cell r="K148">
            <v>785.2</v>
          </cell>
          <cell r="L148">
            <v>786</v>
          </cell>
        </row>
        <row r="149">
          <cell r="C149" t="str">
            <v>Bolt and Nuts M10-45 mm</v>
          </cell>
          <cell r="E149">
            <v>1</v>
          </cell>
          <cell r="F149" t="str">
            <v>Bh</v>
          </cell>
          <cell r="G149" t="str">
            <v>Bh</v>
          </cell>
          <cell r="H149">
            <v>5.5000000000000014E-2</v>
          </cell>
          <cell r="I149">
            <v>5.5000000000000014E-2</v>
          </cell>
          <cell r="K149">
            <v>837.2</v>
          </cell>
          <cell r="L149">
            <v>838</v>
          </cell>
        </row>
        <row r="150">
          <cell r="C150" t="str">
            <v>Bolt and Nuts M10-50 mm</v>
          </cell>
          <cell r="E150">
            <v>1</v>
          </cell>
          <cell r="F150" t="str">
            <v>Bh</v>
          </cell>
          <cell r="G150" t="str">
            <v>Bh</v>
          </cell>
          <cell r="H150">
            <v>5.8000000000000017E-2</v>
          </cell>
          <cell r="I150">
            <v>5.8000000000000017E-2</v>
          </cell>
          <cell r="K150">
            <v>895.7</v>
          </cell>
          <cell r="L150">
            <v>896</v>
          </cell>
        </row>
        <row r="151">
          <cell r="C151" t="str">
            <v>Bolt and Nuts M10-55 mm</v>
          </cell>
          <cell r="E151">
            <v>1</v>
          </cell>
          <cell r="F151" t="str">
            <v>Bh</v>
          </cell>
          <cell r="G151" t="str">
            <v>Bh</v>
          </cell>
          <cell r="H151">
            <v>6.1000000000000019E-2</v>
          </cell>
          <cell r="I151">
            <v>6.1000000000000019E-2</v>
          </cell>
          <cell r="K151">
            <v>921.7</v>
          </cell>
          <cell r="L151">
            <v>922</v>
          </cell>
        </row>
        <row r="152">
          <cell r="C152" t="str">
            <v>Bolt and Nuts M10-60 mm</v>
          </cell>
          <cell r="E152">
            <v>1</v>
          </cell>
          <cell r="F152" t="str">
            <v>Bh</v>
          </cell>
          <cell r="G152" t="str">
            <v>Bh</v>
          </cell>
          <cell r="H152">
            <v>6.4000000000000015E-2</v>
          </cell>
          <cell r="I152">
            <v>6.4000000000000015E-2</v>
          </cell>
          <cell r="K152">
            <v>986.7</v>
          </cell>
          <cell r="L152">
            <v>987</v>
          </cell>
        </row>
        <row r="153">
          <cell r="C153" t="str">
            <v>Bolt and Nuts M10-65 mm</v>
          </cell>
          <cell r="E153">
            <v>1</v>
          </cell>
          <cell r="F153" t="str">
            <v>Bh</v>
          </cell>
          <cell r="G153" t="str">
            <v>Bh</v>
          </cell>
          <cell r="H153">
            <v>6.7000000000000018E-2</v>
          </cell>
          <cell r="I153">
            <v>6.7000000000000018E-2</v>
          </cell>
          <cell r="K153">
            <v>1032.2</v>
          </cell>
          <cell r="L153">
            <v>1033</v>
          </cell>
        </row>
        <row r="154">
          <cell r="C154" t="str">
            <v>Bolt and Nuts M10-70 mm</v>
          </cell>
          <cell r="E154">
            <v>1</v>
          </cell>
          <cell r="F154" t="str">
            <v>Bh</v>
          </cell>
          <cell r="G154" t="str">
            <v>Bh</v>
          </cell>
          <cell r="H154">
            <v>7.0000000000000021E-2</v>
          </cell>
          <cell r="I154">
            <v>7.0000000000000021E-2</v>
          </cell>
          <cell r="K154">
            <v>1097.2</v>
          </cell>
          <cell r="L154">
            <v>1098</v>
          </cell>
        </row>
        <row r="156">
          <cell r="C156" t="str">
            <v>Bolt and Nuts M12-20 mm</v>
          </cell>
          <cell r="E156">
            <v>1</v>
          </cell>
          <cell r="F156" t="str">
            <v>Bh</v>
          </cell>
          <cell r="G156" t="str">
            <v>Bh</v>
          </cell>
          <cell r="H156">
            <v>6.2E-2</v>
          </cell>
          <cell r="I156">
            <v>6.2E-2</v>
          </cell>
          <cell r="K156">
            <v>869.05</v>
          </cell>
          <cell r="L156">
            <v>870</v>
          </cell>
        </row>
        <row r="157">
          <cell r="C157" t="str">
            <v>Bolt and Nuts M12-25 mm</v>
          </cell>
          <cell r="E157">
            <v>1</v>
          </cell>
          <cell r="F157" t="str">
            <v>Bh</v>
          </cell>
          <cell r="G157" t="str">
            <v>Bh</v>
          </cell>
          <cell r="H157">
            <v>6.5000000000000002E-2</v>
          </cell>
          <cell r="I157">
            <v>6.5000000000000002E-2</v>
          </cell>
          <cell r="K157">
            <v>882.05</v>
          </cell>
          <cell r="L157">
            <v>883</v>
          </cell>
        </row>
        <row r="158">
          <cell r="C158" t="str">
            <v>Bolt and Nuts M12-30 mm</v>
          </cell>
          <cell r="E158">
            <v>1</v>
          </cell>
          <cell r="F158" t="str">
            <v>Bh</v>
          </cell>
          <cell r="G158" t="str">
            <v>Bh</v>
          </cell>
          <cell r="H158">
            <v>6.9000000000000006E-2</v>
          </cell>
          <cell r="I158">
            <v>6.9000000000000006E-2</v>
          </cell>
          <cell r="K158">
            <v>940.55</v>
          </cell>
          <cell r="L158">
            <v>941</v>
          </cell>
        </row>
        <row r="159">
          <cell r="C159" t="str">
            <v>Bolt and Nuts M12-35 mm</v>
          </cell>
          <cell r="E159">
            <v>1</v>
          </cell>
          <cell r="F159" t="str">
            <v>Bh</v>
          </cell>
          <cell r="G159" t="str">
            <v>Bh</v>
          </cell>
          <cell r="H159">
            <v>7.3000000000000009E-2</v>
          </cell>
          <cell r="I159">
            <v>7.3000000000000009E-2</v>
          </cell>
          <cell r="K159">
            <v>986.05</v>
          </cell>
          <cell r="L159">
            <v>987</v>
          </cell>
        </row>
        <row r="160">
          <cell r="C160" t="str">
            <v>Bolt and Nuts M12-40 mm</v>
          </cell>
          <cell r="E160">
            <v>1</v>
          </cell>
          <cell r="F160" t="str">
            <v>Bh</v>
          </cell>
          <cell r="G160" t="str">
            <v>Bh</v>
          </cell>
          <cell r="H160">
            <v>7.8000000000000014E-2</v>
          </cell>
          <cell r="I160">
            <v>7.8000000000000014E-2</v>
          </cell>
          <cell r="K160">
            <v>1051.05</v>
          </cell>
          <cell r="L160">
            <v>1052</v>
          </cell>
        </row>
        <row r="161">
          <cell r="C161" t="str">
            <v>Bolt and Nuts M12-45 mm</v>
          </cell>
          <cell r="E161">
            <v>1</v>
          </cell>
          <cell r="F161" t="str">
            <v>Bh</v>
          </cell>
          <cell r="G161" t="str">
            <v>Bh</v>
          </cell>
          <cell r="H161">
            <v>8.199999999999999E-2</v>
          </cell>
          <cell r="I161">
            <v>8.199999999999999E-2</v>
          </cell>
          <cell r="K161">
            <v>1116.05</v>
          </cell>
          <cell r="L161">
            <v>1117</v>
          </cell>
        </row>
        <row r="162">
          <cell r="C162" t="str">
            <v>Bolt and Nuts M12-50 mm</v>
          </cell>
          <cell r="E162">
            <v>1</v>
          </cell>
          <cell r="F162" t="str">
            <v>Bh</v>
          </cell>
          <cell r="G162" t="str">
            <v>Bh</v>
          </cell>
          <cell r="H162">
            <v>8.6999999999999994E-2</v>
          </cell>
          <cell r="I162">
            <v>8.6999999999999994E-2</v>
          </cell>
          <cell r="K162">
            <v>1174.55</v>
          </cell>
          <cell r="L162">
            <v>1175</v>
          </cell>
        </row>
        <row r="163">
          <cell r="C163" t="str">
            <v>Bolt and Nuts M12-55 mm</v>
          </cell>
          <cell r="E163">
            <v>1</v>
          </cell>
          <cell r="F163" t="str">
            <v>Bh</v>
          </cell>
          <cell r="G163" t="str">
            <v>Bh</v>
          </cell>
          <cell r="H163">
            <v>9.1000000000000011E-2</v>
          </cell>
          <cell r="I163">
            <v>9.1000000000000011E-2</v>
          </cell>
          <cell r="K163">
            <v>1239.55</v>
          </cell>
          <cell r="L163">
            <v>1240</v>
          </cell>
        </row>
        <row r="164">
          <cell r="C164" t="str">
            <v>Bolt and Nuts M12-60 mm</v>
          </cell>
          <cell r="E164">
            <v>1</v>
          </cell>
          <cell r="F164" t="str">
            <v>Bh</v>
          </cell>
          <cell r="G164" t="str">
            <v>Bh</v>
          </cell>
          <cell r="H164">
            <v>9.6000000000000016E-2</v>
          </cell>
          <cell r="I164">
            <v>9.6000000000000016E-2</v>
          </cell>
          <cell r="K164">
            <v>1298.05</v>
          </cell>
          <cell r="L164">
            <v>1299</v>
          </cell>
        </row>
        <row r="165">
          <cell r="C165" t="str">
            <v>Bolt and Nuts M12-65 mm</v>
          </cell>
          <cell r="E165">
            <v>1</v>
          </cell>
          <cell r="F165" t="str">
            <v>Bh</v>
          </cell>
          <cell r="G165" t="str">
            <v>Bh</v>
          </cell>
          <cell r="H165">
            <v>0.1</v>
          </cell>
          <cell r="I165">
            <v>0.1</v>
          </cell>
          <cell r="K165">
            <v>1363.05</v>
          </cell>
          <cell r="L165">
            <v>1364</v>
          </cell>
        </row>
        <row r="166">
          <cell r="C166" t="str">
            <v>Bolt and Nuts M12-70 mm</v>
          </cell>
          <cell r="E166">
            <v>1</v>
          </cell>
          <cell r="F166" t="str">
            <v>Bh</v>
          </cell>
          <cell r="G166" t="str">
            <v>Bh</v>
          </cell>
          <cell r="H166">
            <v>0.10400000000000001</v>
          </cell>
          <cell r="I166">
            <v>0.10400000000000001</v>
          </cell>
          <cell r="K166">
            <v>1421.55</v>
          </cell>
          <cell r="L166">
            <v>1422</v>
          </cell>
        </row>
        <row r="167">
          <cell r="C167" t="str">
            <v>Bolt and Nuts M12-75 mm</v>
          </cell>
          <cell r="E167">
            <v>1</v>
          </cell>
          <cell r="F167" t="str">
            <v>Bh</v>
          </cell>
          <cell r="G167" t="str">
            <v>Bh</v>
          </cell>
          <cell r="H167">
            <v>0.109</v>
          </cell>
          <cell r="I167">
            <v>0.109</v>
          </cell>
          <cell r="K167">
            <v>1486.55</v>
          </cell>
          <cell r="L167">
            <v>1487</v>
          </cell>
        </row>
        <row r="168">
          <cell r="C168" t="str">
            <v>Bolt and Nuts M12-80 mm</v>
          </cell>
          <cell r="E168">
            <v>1</v>
          </cell>
          <cell r="F168" t="str">
            <v>Bh</v>
          </cell>
          <cell r="G168" t="str">
            <v>Bh</v>
          </cell>
          <cell r="H168">
            <v>0.113</v>
          </cell>
          <cell r="I168">
            <v>0.113</v>
          </cell>
          <cell r="K168">
            <v>1551.55</v>
          </cell>
          <cell r="L168">
            <v>1552</v>
          </cell>
        </row>
        <row r="169">
          <cell r="C169" t="str">
            <v>Bolt and Nuts M12-85 mm</v>
          </cell>
          <cell r="E169">
            <v>1</v>
          </cell>
          <cell r="F169" t="str">
            <v>Bh</v>
          </cell>
          <cell r="G169" t="str">
            <v>Bh</v>
          </cell>
          <cell r="H169">
            <v>0.11700000000000001</v>
          </cell>
          <cell r="I169">
            <v>0.11700000000000001</v>
          </cell>
          <cell r="K169">
            <v>1753.05</v>
          </cell>
          <cell r="L169">
            <v>1754</v>
          </cell>
        </row>
        <row r="170">
          <cell r="C170" t="str">
            <v>Bolt and Nuts M12-90 mm</v>
          </cell>
          <cell r="E170">
            <v>1</v>
          </cell>
          <cell r="F170" t="str">
            <v>Bh</v>
          </cell>
          <cell r="G170" t="str">
            <v>Bh</v>
          </cell>
          <cell r="H170">
            <v>0.12200000000000001</v>
          </cell>
          <cell r="I170">
            <v>0.12200000000000001</v>
          </cell>
          <cell r="K170">
            <v>1766.05</v>
          </cell>
          <cell r="L170">
            <v>1767</v>
          </cell>
        </row>
        <row r="171">
          <cell r="C171" t="str">
            <v>Bolt and Nuts M12-95 mm</v>
          </cell>
          <cell r="E171">
            <v>1</v>
          </cell>
          <cell r="F171" t="str">
            <v>Bh</v>
          </cell>
          <cell r="G171" t="str">
            <v>Bh</v>
          </cell>
          <cell r="H171">
            <v>0.126</v>
          </cell>
          <cell r="I171">
            <v>0.126</v>
          </cell>
          <cell r="K171">
            <v>1876.55</v>
          </cell>
          <cell r="L171">
            <v>1877</v>
          </cell>
        </row>
        <row r="172">
          <cell r="C172" t="str">
            <v>Bolt and Nuts M12-100 mm</v>
          </cell>
          <cell r="E172">
            <v>1</v>
          </cell>
          <cell r="F172" t="str">
            <v>Bh</v>
          </cell>
          <cell r="G172" t="str">
            <v>Bh</v>
          </cell>
          <cell r="H172">
            <v>0.129</v>
          </cell>
          <cell r="I172">
            <v>0.129</v>
          </cell>
          <cell r="K172">
            <v>1889.55</v>
          </cell>
          <cell r="L172">
            <v>1890</v>
          </cell>
        </row>
        <row r="174">
          <cell r="C174" t="str">
            <v>Bolt and Nuts M16-30 mm</v>
          </cell>
          <cell r="E174">
            <v>1</v>
          </cell>
          <cell r="F174" t="str">
            <v>Bh</v>
          </cell>
          <cell r="G174" t="str">
            <v>Bh</v>
          </cell>
          <cell r="H174">
            <v>0.13300000000000001</v>
          </cell>
          <cell r="I174">
            <v>0.13300000000000001</v>
          </cell>
          <cell r="K174">
            <v>1760.85</v>
          </cell>
          <cell r="L174">
            <v>1761</v>
          </cell>
        </row>
        <row r="175">
          <cell r="C175" t="str">
            <v>Bolt and Nuts M16-35 mm</v>
          </cell>
          <cell r="E175">
            <v>1</v>
          </cell>
          <cell r="F175" t="str">
            <v>Bh</v>
          </cell>
          <cell r="G175" t="str">
            <v>Bh</v>
          </cell>
          <cell r="H175">
            <v>0.13900000000000001</v>
          </cell>
          <cell r="I175">
            <v>0.13900000000000001</v>
          </cell>
          <cell r="K175">
            <v>1851.85</v>
          </cell>
          <cell r="L175">
            <v>1852</v>
          </cell>
        </row>
        <row r="176">
          <cell r="C176" t="str">
            <v>Bolt and Nuts M16-40 mm</v>
          </cell>
          <cell r="E176">
            <v>1</v>
          </cell>
          <cell r="F176" t="str">
            <v>Bh</v>
          </cell>
          <cell r="G176" t="str">
            <v>Bh</v>
          </cell>
          <cell r="H176">
            <v>0.14599999999999999</v>
          </cell>
          <cell r="I176">
            <v>0.14599999999999999</v>
          </cell>
          <cell r="K176">
            <v>1929.85</v>
          </cell>
          <cell r="L176">
            <v>1930</v>
          </cell>
        </row>
        <row r="177">
          <cell r="C177" t="str">
            <v>Bolt and Nuts M16-45 mm</v>
          </cell>
          <cell r="E177">
            <v>1</v>
          </cell>
          <cell r="F177" t="str">
            <v>Bh</v>
          </cell>
          <cell r="G177" t="str">
            <v>Bh</v>
          </cell>
          <cell r="H177">
            <v>0.153</v>
          </cell>
          <cell r="I177">
            <v>0.153</v>
          </cell>
          <cell r="K177">
            <v>2020.85</v>
          </cell>
          <cell r="L177">
            <v>2021</v>
          </cell>
        </row>
        <row r="178">
          <cell r="C178" t="str">
            <v>Bolt and Nuts M16-50 mm</v>
          </cell>
          <cell r="E178">
            <v>1</v>
          </cell>
          <cell r="F178" t="str">
            <v>Bh</v>
          </cell>
          <cell r="G178" t="str">
            <v>Bh</v>
          </cell>
          <cell r="H178">
            <v>0.16299999999999998</v>
          </cell>
          <cell r="I178">
            <v>0.16299999999999998</v>
          </cell>
          <cell r="K178">
            <v>2111.85</v>
          </cell>
          <cell r="L178">
            <v>2112</v>
          </cell>
        </row>
        <row r="179">
          <cell r="C179" t="str">
            <v>Bolt and Nuts M16-55 mm</v>
          </cell>
          <cell r="E179">
            <v>1</v>
          </cell>
          <cell r="F179" t="str">
            <v>Bh</v>
          </cell>
          <cell r="G179" t="str">
            <v>Bh</v>
          </cell>
          <cell r="H179">
            <v>0.16600000000000001</v>
          </cell>
          <cell r="I179">
            <v>0.16600000000000001</v>
          </cell>
          <cell r="K179">
            <v>2196.35</v>
          </cell>
          <cell r="L179">
            <v>2197</v>
          </cell>
        </row>
        <row r="180">
          <cell r="C180" t="str">
            <v>Bolt and Nuts M16-60 mm</v>
          </cell>
          <cell r="E180">
            <v>1</v>
          </cell>
          <cell r="F180" t="str">
            <v>Bh</v>
          </cell>
          <cell r="G180" t="str">
            <v>Bh</v>
          </cell>
          <cell r="H180">
            <v>0.17600000000000002</v>
          </cell>
          <cell r="I180">
            <v>0.17600000000000002</v>
          </cell>
          <cell r="K180">
            <v>2306.85</v>
          </cell>
          <cell r="L180">
            <v>2307</v>
          </cell>
        </row>
        <row r="181">
          <cell r="C181" t="str">
            <v>Bolt and Nuts M16-65 mm</v>
          </cell>
          <cell r="E181">
            <v>1</v>
          </cell>
          <cell r="F181" t="str">
            <v>Bh</v>
          </cell>
          <cell r="G181" t="str">
            <v>Bh</v>
          </cell>
          <cell r="H181">
            <v>0.18600000000000003</v>
          </cell>
          <cell r="I181">
            <v>0.18600000000000003</v>
          </cell>
          <cell r="K181">
            <v>2436.85</v>
          </cell>
          <cell r="L181">
            <v>2437</v>
          </cell>
        </row>
        <row r="182">
          <cell r="C182" t="str">
            <v>Bolt and Nuts M16-70 mm</v>
          </cell>
          <cell r="E182">
            <v>1</v>
          </cell>
          <cell r="F182" t="str">
            <v>Bh</v>
          </cell>
          <cell r="G182" t="str">
            <v>Bh</v>
          </cell>
          <cell r="H182">
            <v>0.19600000000000001</v>
          </cell>
          <cell r="I182">
            <v>0.19600000000000001</v>
          </cell>
          <cell r="K182">
            <v>2527.85</v>
          </cell>
          <cell r="L182">
            <v>2528</v>
          </cell>
        </row>
        <row r="183">
          <cell r="C183" t="str">
            <v>Bolt and Nuts M16-75 mm</v>
          </cell>
          <cell r="E183">
            <v>1</v>
          </cell>
          <cell r="F183" t="str">
            <v>Bh</v>
          </cell>
          <cell r="G183" t="str">
            <v>Bh</v>
          </cell>
          <cell r="H183">
            <v>0.20600000000000002</v>
          </cell>
          <cell r="I183">
            <v>0.20600000000000002</v>
          </cell>
          <cell r="K183">
            <v>2651.35</v>
          </cell>
          <cell r="L183">
            <v>2652</v>
          </cell>
        </row>
        <row r="184">
          <cell r="C184" t="str">
            <v>Bolt and Nuts M16-80 mm</v>
          </cell>
          <cell r="E184">
            <v>1</v>
          </cell>
          <cell r="F184" t="str">
            <v>Bh</v>
          </cell>
          <cell r="G184" t="str">
            <v>Bh</v>
          </cell>
          <cell r="H184">
            <v>0.21600000000000003</v>
          </cell>
          <cell r="I184">
            <v>0.21600000000000003</v>
          </cell>
          <cell r="K184">
            <v>2742.35</v>
          </cell>
          <cell r="L184">
            <v>2743</v>
          </cell>
        </row>
        <row r="185">
          <cell r="C185" t="str">
            <v>Bolt and Nuts M16-85 mm</v>
          </cell>
          <cell r="E185">
            <v>1</v>
          </cell>
          <cell r="F185" t="str">
            <v>Bh</v>
          </cell>
          <cell r="G185" t="str">
            <v>Bh</v>
          </cell>
          <cell r="H185">
            <v>0.221</v>
          </cell>
          <cell r="I185">
            <v>0.221</v>
          </cell>
          <cell r="K185">
            <v>2930.85</v>
          </cell>
          <cell r="L185">
            <v>2931</v>
          </cell>
        </row>
        <row r="186">
          <cell r="C186" t="str">
            <v>Bolt and Nuts M16-90 mm</v>
          </cell>
          <cell r="E186">
            <v>1</v>
          </cell>
          <cell r="F186" t="str">
            <v>Bh</v>
          </cell>
          <cell r="G186" t="str">
            <v>Bh</v>
          </cell>
          <cell r="H186">
            <v>0.22600000000000001</v>
          </cell>
          <cell r="I186">
            <v>0.22600000000000001</v>
          </cell>
          <cell r="K186">
            <v>2956.85</v>
          </cell>
          <cell r="L186">
            <v>2957</v>
          </cell>
        </row>
        <row r="187">
          <cell r="C187" t="str">
            <v>Bolt and Nuts M16-95 mm</v>
          </cell>
          <cell r="E187">
            <v>1</v>
          </cell>
          <cell r="F187" t="str">
            <v>Bh</v>
          </cell>
          <cell r="G187" t="str">
            <v>Bh</v>
          </cell>
          <cell r="H187">
            <v>0.23600000000000002</v>
          </cell>
          <cell r="I187">
            <v>0.23600000000000002</v>
          </cell>
          <cell r="K187">
            <v>3190.85</v>
          </cell>
          <cell r="L187">
            <v>3191</v>
          </cell>
        </row>
        <row r="188">
          <cell r="C188" t="str">
            <v>Bolt and Nuts M16-100 mm</v>
          </cell>
          <cell r="E188">
            <v>1</v>
          </cell>
          <cell r="F188" t="str">
            <v>Bh</v>
          </cell>
          <cell r="G188" t="str">
            <v>Bh</v>
          </cell>
          <cell r="H188">
            <v>0.24600000000000002</v>
          </cell>
          <cell r="I188">
            <v>0.24600000000000002</v>
          </cell>
          <cell r="K188">
            <v>3216.85</v>
          </cell>
          <cell r="L188">
            <v>3217</v>
          </cell>
        </row>
        <row r="189">
          <cell r="C189" t="str">
            <v>Bolt and Nuts M16-110 mm</v>
          </cell>
          <cell r="E189">
            <v>1</v>
          </cell>
          <cell r="F189" t="str">
            <v>Bh</v>
          </cell>
          <cell r="G189" t="str">
            <v>Bh</v>
          </cell>
          <cell r="H189">
            <v>0.25600000000000001</v>
          </cell>
          <cell r="I189">
            <v>0.25600000000000001</v>
          </cell>
          <cell r="K189">
            <v>3502.2</v>
          </cell>
          <cell r="L189">
            <v>3503</v>
          </cell>
        </row>
        <row r="190">
          <cell r="C190" t="str">
            <v>Bolt and Nuts M16-120 mm</v>
          </cell>
          <cell r="E190">
            <v>1</v>
          </cell>
          <cell r="F190" t="str">
            <v>Bh</v>
          </cell>
          <cell r="G190" t="str">
            <v>Bh</v>
          </cell>
          <cell r="H190">
            <v>0.27600000000000002</v>
          </cell>
          <cell r="I190">
            <v>0.27600000000000002</v>
          </cell>
          <cell r="K190">
            <v>3710.85</v>
          </cell>
          <cell r="L190">
            <v>3711</v>
          </cell>
        </row>
        <row r="191">
          <cell r="C191" t="str">
            <v>Bolt and Nuts M16-130 mm</v>
          </cell>
          <cell r="E191">
            <v>1</v>
          </cell>
          <cell r="F191" t="str">
            <v>Bh</v>
          </cell>
          <cell r="G191" t="str">
            <v>Bh</v>
          </cell>
          <cell r="H191">
            <v>0.28600000000000003</v>
          </cell>
          <cell r="I191">
            <v>0.28600000000000003</v>
          </cell>
          <cell r="K191">
            <v>3918.85</v>
          </cell>
          <cell r="L191">
            <v>3919</v>
          </cell>
        </row>
        <row r="192">
          <cell r="C192" t="str">
            <v>Bolt and Nuts M16-140 mm</v>
          </cell>
          <cell r="E192">
            <v>1</v>
          </cell>
          <cell r="F192" t="str">
            <v>Bh</v>
          </cell>
          <cell r="G192" t="str">
            <v>Bh</v>
          </cell>
          <cell r="H192">
            <v>0.30599999999999999</v>
          </cell>
          <cell r="I192">
            <v>0.30599999999999999</v>
          </cell>
          <cell r="K192">
            <v>3541.85</v>
          </cell>
          <cell r="L192">
            <v>3542</v>
          </cell>
        </row>
        <row r="193">
          <cell r="C193" t="str">
            <v>Bolt and Nuts M16-150 mm</v>
          </cell>
          <cell r="E193">
            <v>1</v>
          </cell>
          <cell r="F193" t="str">
            <v>Bh</v>
          </cell>
          <cell r="G193" t="str">
            <v>Bh</v>
          </cell>
          <cell r="H193">
            <v>0.316</v>
          </cell>
          <cell r="I193">
            <v>0.316</v>
          </cell>
          <cell r="K193">
            <v>4471.3500000000004</v>
          </cell>
          <cell r="L193">
            <v>4472</v>
          </cell>
        </row>
        <row r="195">
          <cell r="C195" t="str">
            <v>Bolt and Nuts M20-40 mm</v>
          </cell>
          <cell r="E195">
            <v>1</v>
          </cell>
          <cell r="F195" t="str">
            <v>Bh</v>
          </cell>
          <cell r="G195" t="str">
            <v>Bh</v>
          </cell>
          <cell r="H195">
            <v>0.249</v>
          </cell>
          <cell r="I195">
            <v>0.249</v>
          </cell>
          <cell r="K195">
            <v>3429.4</v>
          </cell>
          <cell r="L195">
            <v>3430</v>
          </cell>
        </row>
        <row r="196">
          <cell r="C196" t="str">
            <v>Bolt and Nuts M20-45 mm</v>
          </cell>
          <cell r="E196">
            <v>1</v>
          </cell>
          <cell r="F196" t="str">
            <v>Bh</v>
          </cell>
          <cell r="G196" t="str">
            <v>Bh</v>
          </cell>
          <cell r="H196">
            <v>0.25900000000000001</v>
          </cell>
          <cell r="I196">
            <v>0.25900000000000001</v>
          </cell>
          <cell r="K196">
            <v>3559.4</v>
          </cell>
          <cell r="L196">
            <v>3560</v>
          </cell>
        </row>
        <row r="197">
          <cell r="C197" t="str">
            <v>Bolt and Nuts M20-50 mm</v>
          </cell>
          <cell r="E197">
            <v>1</v>
          </cell>
          <cell r="F197" t="str">
            <v>Bh</v>
          </cell>
          <cell r="G197" t="str">
            <v>Bh</v>
          </cell>
          <cell r="H197">
            <v>0.26899999999999996</v>
          </cell>
          <cell r="I197">
            <v>0.26899999999999996</v>
          </cell>
          <cell r="K197">
            <v>3610.75</v>
          </cell>
          <cell r="L197">
            <v>3611</v>
          </cell>
        </row>
        <row r="198">
          <cell r="C198" t="str">
            <v>Bolt and Nuts M20-55 mm</v>
          </cell>
          <cell r="E198">
            <v>1</v>
          </cell>
          <cell r="F198" t="str">
            <v>Bh</v>
          </cell>
          <cell r="G198" t="str">
            <v>Bh</v>
          </cell>
          <cell r="H198">
            <v>0.27899999999999997</v>
          </cell>
          <cell r="I198">
            <v>0.27899999999999997</v>
          </cell>
          <cell r="K198">
            <v>3864.9</v>
          </cell>
          <cell r="L198">
            <v>3865</v>
          </cell>
        </row>
        <row r="199">
          <cell r="C199" t="str">
            <v>Bolt and Nuts M20-60 mm</v>
          </cell>
          <cell r="E199">
            <v>1</v>
          </cell>
          <cell r="F199" t="str">
            <v>Bh</v>
          </cell>
          <cell r="G199" t="str">
            <v>Bh</v>
          </cell>
          <cell r="H199">
            <v>0.29899999999999999</v>
          </cell>
          <cell r="I199">
            <v>0.29899999999999999</v>
          </cell>
          <cell r="K199">
            <v>4027.4</v>
          </cell>
          <cell r="L199">
            <v>4028</v>
          </cell>
        </row>
        <row r="200">
          <cell r="C200" t="str">
            <v>Bolt and Nuts M20-65 mm</v>
          </cell>
          <cell r="E200">
            <v>1</v>
          </cell>
          <cell r="F200" t="str">
            <v>Bh</v>
          </cell>
          <cell r="G200" t="str">
            <v>Bh</v>
          </cell>
          <cell r="H200">
            <v>0.309</v>
          </cell>
          <cell r="I200">
            <v>0.309</v>
          </cell>
          <cell r="K200">
            <v>4261.3999999999996</v>
          </cell>
          <cell r="L200">
            <v>4262</v>
          </cell>
        </row>
        <row r="201">
          <cell r="C201" t="str">
            <v>Bolt and Nuts M20-70 mm</v>
          </cell>
          <cell r="E201">
            <v>1</v>
          </cell>
          <cell r="F201" t="str">
            <v>Bh</v>
          </cell>
          <cell r="G201" t="str">
            <v>Bh</v>
          </cell>
          <cell r="H201">
            <v>0.31900000000000001</v>
          </cell>
          <cell r="I201">
            <v>0.31900000000000001</v>
          </cell>
          <cell r="K201">
            <v>4397.8999999999996</v>
          </cell>
          <cell r="L201">
            <v>4398</v>
          </cell>
        </row>
        <row r="202">
          <cell r="C202" t="str">
            <v>Bolt and Nuts M20-75 mm</v>
          </cell>
          <cell r="E202">
            <v>1</v>
          </cell>
          <cell r="F202" t="str">
            <v>Bh</v>
          </cell>
          <cell r="G202" t="str">
            <v>Bh</v>
          </cell>
          <cell r="H202">
            <v>0.32899999999999996</v>
          </cell>
          <cell r="I202">
            <v>0.32899999999999996</v>
          </cell>
          <cell r="K202">
            <v>4586.3999999999996</v>
          </cell>
          <cell r="L202">
            <v>4587</v>
          </cell>
        </row>
        <row r="203">
          <cell r="C203" t="str">
            <v>Bolt and Nuts M20-80 mm</v>
          </cell>
          <cell r="E203">
            <v>1</v>
          </cell>
          <cell r="F203" t="str">
            <v>Bh</v>
          </cell>
          <cell r="G203" t="str">
            <v>Bh</v>
          </cell>
          <cell r="H203">
            <v>0.34899999999999998</v>
          </cell>
          <cell r="I203">
            <v>0.34899999999999998</v>
          </cell>
          <cell r="K203">
            <v>4690.3999999999996</v>
          </cell>
          <cell r="L203">
            <v>4691</v>
          </cell>
        </row>
        <row r="204">
          <cell r="C204" t="str">
            <v>Bolt and Nuts M20-85 mm</v>
          </cell>
          <cell r="E204">
            <v>1</v>
          </cell>
          <cell r="F204" t="str">
            <v>Bh</v>
          </cell>
          <cell r="G204" t="str">
            <v>Bh</v>
          </cell>
          <cell r="H204">
            <v>0.35899999999999999</v>
          </cell>
          <cell r="I204">
            <v>0.35899999999999999</v>
          </cell>
          <cell r="K204">
            <v>5054.3999999999996</v>
          </cell>
          <cell r="L204">
            <v>5055</v>
          </cell>
        </row>
        <row r="205">
          <cell r="C205" t="str">
            <v>Bolt and Nuts M20-90 mm</v>
          </cell>
          <cell r="E205">
            <v>1</v>
          </cell>
          <cell r="F205" t="str">
            <v>Bh</v>
          </cell>
          <cell r="G205" t="str">
            <v>Bh</v>
          </cell>
          <cell r="H205">
            <v>0.36899999999999999</v>
          </cell>
          <cell r="I205">
            <v>0.36899999999999999</v>
          </cell>
          <cell r="K205">
            <v>5093.3999999999996</v>
          </cell>
          <cell r="L205">
            <v>5094</v>
          </cell>
        </row>
        <row r="206">
          <cell r="C206" t="str">
            <v>Bolt and Nuts M20-95 mm</v>
          </cell>
          <cell r="E206">
            <v>1</v>
          </cell>
          <cell r="F206" t="str">
            <v>Bh</v>
          </cell>
          <cell r="G206" t="str">
            <v>Bh</v>
          </cell>
          <cell r="H206">
            <v>0.379</v>
          </cell>
          <cell r="I206">
            <v>0.379</v>
          </cell>
          <cell r="K206">
            <v>5372.9</v>
          </cell>
          <cell r="L206">
            <v>5373</v>
          </cell>
        </row>
        <row r="207">
          <cell r="C207" t="str">
            <v>Bolt and Nuts M20-100 mm</v>
          </cell>
          <cell r="E207">
            <v>1</v>
          </cell>
          <cell r="F207" t="str">
            <v>Bh</v>
          </cell>
          <cell r="G207" t="str">
            <v>Bh</v>
          </cell>
          <cell r="H207">
            <v>0.38900000000000001</v>
          </cell>
          <cell r="I207">
            <v>0.38900000000000001</v>
          </cell>
          <cell r="K207">
            <v>5392.4</v>
          </cell>
          <cell r="L207">
            <v>5393</v>
          </cell>
        </row>
        <row r="208">
          <cell r="C208" t="str">
            <v>Bolt and Nuts M20-110 mm</v>
          </cell>
          <cell r="E208">
            <v>1</v>
          </cell>
          <cell r="F208" t="str">
            <v>Bh</v>
          </cell>
          <cell r="G208" t="str">
            <v>Bh</v>
          </cell>
          <cell r="H208">
            <v>0.41899999999999998</v>
          </cell>
          <cell r="I208">
            <v>0.41899999999999998</v>
          </cell>
          <cell r="K208">
            <v>5957.9</v>
          </cell>
          <cell r="L208">
            <v>5958</v>
          </cell>
        </row>
        <row r="209">
          <cell r="C209" t="str">
            <v>Bolt and Nuts M20-120 mm</v>
          </cell>
          <cell r="E209">
            <v>1</v>
          </cell>
          <cell r="F209" t="str">
            <v>Bh</v>
          </cell>
          <cell r="G209" t="str">
            <v>Bh</v>
          </cell>
          <cell r="H209">
            <v>0.439</v>
          </cell>
          <cell r="I209">
            <v>0.439</v>
          </cell>
          <cell r="K209">
            <v>6263.4</v>
          </cell>
          <cell r="L209">
            <v>6264</v>
          </cell>
        </row>
        <row r="210">
          <cell r="C210" t="str">
            <v>Bolt and Nuts M20-130 mm</v>
          </cell>
          <cell r="E210">
            <v>1</v>
          </cell>
          <cell r="F210" t="str">
            <v>Bh</v>
          </cell>
          <cell r="G210" t="str">
            <v>Bh</v>
          </cell>
          <cell r="H210">
            <v>0.47899999999999998</v>
          </cell>
          <cell r="I210">
            <v>0.47899999999999998</v>
          </cell>
          <cell r="K210">
            <v>6620.9</v>
          </cell>
          <cell r="L210">
            <v>6621</v>
          </cell>
        </row>
        <row r="211">
          <cell r="C211" t="str">
            <v>Bolt and Nuts M20-140 mm</v>
          </cell>
          <cell r="E211">
            <v>1</v>
          </cell>
          <cell r="F211" t="str">
            <v>Bh</v>
          </cell>
          <cell r="G211" t="str">
            <v>Bh</v>
          </cell>
          <cell r="H211">
            <v>0.48899999999999999</v>
          </cell>
          <cell r="I211">
            <v>0.48899999999999999</v>
          </cell>
          <cell r="K211">
            <v>6893.9</v>
          </cell>
          <cell r="L211">
            <v>6894</v>
          </cell>
        </row>
        <row r="212">
          <cell r="C212" t="str">
            <v>Bolt and Nuts M20-150 mm</v>
          </cell>
          <cell r="E212">
            <v>1</v>
          </cell>
          <cell r="F212" t="str">
            <v>Bh</v>
          </cell>
          <cell r="G212" t="str">
            <v>Bh</v>
          </cell>
          <cell r="H212">
            <v>0.51900000000000002</v>
          </cell>
          <cell r="I212">
            <v>0.51900000000000002</v>
          </cell>
          <cell r="K212">
            <v>7296.9</v>
          </cell>
          <cell r="L212">
            <v>7297</v>
          </cell>
        </row>
        <row r="213">
          <cell r="C213" t="str">
            <v>Bolt and Nuts M20-160 mm</v>
          </cell>
          <cell r="E213">
            <v>1</v>
          </cell>
          <cell r="F213" t="str">
            <v>Bh</v>
          </cell>
          <cell r="G213" t="str">
            <v>Bh</v>
          </cell>
          <cell r="H213">
            <v>0.53900000000000003</v>
          </cell>
          <cell r="I213">
            <v>0.53900000000000003</v>
          </cell>
          <cell r="K213">
            <v>9474.4</v>
          </cell>
          <cell r="L213">
            <v>9475</v>
          </cell>
        </row>
        <row r="214">
          <cell r="C214" t="str">
            <v>Bolt and Nuts M20-170 mm</v>
          </cell>
          <cell r="E214">
            <v>1</v>
          </cell>
          <cell r="F214" t="str">
            <v>Bh</v>
          </cell>
          <cell r="G214" t="str">
            <v>Bh</v>
          </cell>
          <cell r="H214">
            <v>4.8889999999999993</v>
          </cell>
          <cell r="I214">
            <v>4.8889999999999993</v>
          </cell>
          <cell r="K214">
            <v>10013.9</v>
          </cell>
          <cell r="L214">
            <v>10014</v>
          </cell>
        </row>
        <row r="215">
          <cell r="C215" t="str">
            <v>Bolt and Nuts M20-180 mm</v>
          </cell>
          <cell r="E215">
            <v>1</v>
          </cell>
          <cell r="F215" t="str">
            <v>Bh</v>
          </cell>
          <cell r="G215" t="str">
            <v>Bh</v>
          </cell>
          <cell r="H215">
            <v>0.58899999999999997</v>
          </cell>
          <cell r="I215">
            <v>0.58899999999999997</v>
          </cell>
          <cell r="K215">
            <v>10566.4</v>
          </cell>
          <cell r="L215">
            <v>10567</v>
          </cell>
        </row>
        <row r="216">
          <cell r="C216" t="str">
            <v>Bolt and Nuts M20-190 mm</v>
          </cell>
          <cell r="E216">
            <v>1</v>
          </cell>
          <cell r="F216" t="str">
            <v>Bh</v>
          </cell>
          <cell r="G216" t="str">
            <v>Bh</v>
          </cell>
          <cell r="H216">
            <v>0.61899999999999999</v>
          </cell>
          <cell r="I216">
            <v>0.61899999999999999</v>
          </cell>
          <cell r="K216">
            <v>11749.4</v>
          </cell>
          <cell r="L216">
            <v>11750</v>
          </cell>
        </row>
        <row r="217">
          <cell r="C217" t="str">
            <v>Bolt and Nuts M20-200 mm</v>
          </cell>
          <cell r="E217">
            <v>1</v>
          </cell>
          <cell r="F217" t="str">
            <v>Bh</v>
          </cell>
          <cell r="G217" t="str">
            <v>Bh</v>
          </cell>
          <cell r="H217">
            <v>0.63900000000000001</v>
          </cell>
          <cell r="I217">
            <v>0.63900000000000001</v>
          </cell>
          <cell r="K217">
            <v>11645.4</v>
          </cell>
          <cell r="L217">
            <v>11646</v>
          </cell>
        </row>
        <row r="219">
          <cell r="C219" t="str">
            <v>Bolt and Nuts M22-40 mm</v>
          </cell>
          <cell r="E219">
            <v>1</v>
          </cell>
          <cell r="F219" t="str">
            <v>Bh</v>
          </cell>
          <cell r="G219" t="str">
            <v>Bh</v>
          </cell>
          <cell r="H219">
            <v>0.19699999999999998</v>
          </cell>
          <cell r="I219">
            <v>0.19699999999999998</v>
          </cell>
          <cell r="K219">
            <v>5625.75</v>
          </cell>
          <cell r="L219">
            <v>5626</v>
          </cell>
        </row>
        <row r="220">
          <cell r="C220" t="str">
            <v>Bolt and Nuts M22-45 mm</v>
          </cell>
          <cell r="E220">
            <v>1</v>
          </cell>
          <cell r="F220" t="str">
            <v>Bh</v>
          </cell>
          <cell r="G220" t="str">
            <v>Bh</v>
          </cell>
          <cell r="H220">
            <v>0.22699999999999998</v>
          </cell>
          <cell r="I220">
            <v>0.22699999999999998</v>
          </cell>
          <cell r="K220">
            <v>5703.75</v>
          </cell>
          <cell r="L220">
            <v>5704</v>
          </cell>
        </row>
        <row r="221">
          <cell r="C221" t="str">
            <v>Bolt and Nuts M22-50 mm</v>
          </cell>
          <cell r="E221">
            <v>1</v>
          </cell>
          <cell r="F221" t="str">
            <v>Bh</v>
          </cell>
          <cell r="G221" t="str">
            <v>Bh</v>
          </cell>
          <cell r="H221">
            <v>0.25700000000000001</v>
          </cell>
          <cell r="I221">
            <v>0.25700000000000001</v>
          </cell>
          <cell r="K221">
            <v>5827.25</v>
          </cell>
          <cell r="L221">
            <v>5828</v>
          </cell>
        </row>
        <row r="222">
          <cell r="C222" t="str">
            <v>Bolt and Nuts M22-55 mm</v>
          </cell>
          <cell r="E222">
            <v>1</v>
          </cell>
          <cell r="F222" t="str">
            <v>Bh</v>
          </cell>
          <cell r="G222" t="str">
            <v>Bh</v>
          </cell>
          <cell r="H222">
            <v>0.28699999999999998</v>
          </cell>
          <cell r="I222">
            <v>0.28699999999999998</v>
          </cell>
          <cell r="K222">
            <v>6048.25</v>
          </cell>
          <cell r="L222">
            <v>6049</v>
          </cell>
        </row>
        <row r="223">
          <cell r="C223" t="str">
            <v>Bolt and Nuts M22-60 mm</v>
          </cell>
          <cell r="E223">
            <v>1</v>
          </cell>
          <cell r="F223" t="str">
            <v>Bh</v>
          </cell>
          <cell r="G223" t="str">
            <v>Bh</v>
          </cell>
          <cell r="H223">
            <v>0.317</v>
          </cell>
          <cell r="I223">
            <v>0.317</v>
          </cell>
          <cell r="K223">
            <v>6360.25</v>
          </cell>
          <cell r="L223">
            <v>6361</v>
          </cell>
        </row>
        <row r="224">
          <cell r="C224" t="str">
            <v>Bolt and Nuts M22-65 mm</v>
          </cell>
          <cell r="E224">
            <v>1</v>
          </cell>
          <cell r="F224" t="str">
            <v>Bh</v>
          </cell>
          <cell r="G224" t="str">
            <v>Bh</v>
          </cell>
          <cell r="H224">
            <v>0.34700000000000003</v>
          </cell>
          <cell r="I224">
            <v>0.34700000000000003</v>
          </cell>
          <cell r="K224">
            <v>6600.75</v>
          </cell>
          <cell r="L224">
            <v>6601</v>
          </cell>
        </row>
        <row r="225">
          <cell r="C225" t="str">
            <v>Bolt and Nuts M22-70 mm</v>
          </cell>
          <cell r="E225">
            <v>1</v>
          </cell>
          <cell r="F225" t="str">
            <v>Bh</v>
          </cell>
          <cell r="G225" t="str">
            <v>Bh</v>
          </cell>
          <cell r="H225">
            <v>0.377</v>
          </cell>
          <cell r="I225">
            <v>0.377</v>
          </cell>
          <cell r="K225">
            <v>6873.75</v>
          </cell>
          <cell r="L225">
            <v>6874</v>
          </cell>
        </row>
        <row r="226">
          <cell r="C226" t="str">
            <v>Bolt and Nuts M22-75 mm</v>
          </cell>
          <cell r="E226">
            <v>1</v>
          </cell>
          <cell r="F226" t="str">
            <v>Bh</v>
          </cell>
          <cell r="G226" t="str">
            <v>Bh</v>
          </cell>
          <cell r="H226">
            <v>0.40700000000000003</v>
          </cell>
          <cell r="I226">
            <v>0.40700000000000003</v>
          </cell>
          <cell r="K226">
            <v>7127.25</v>
          </cell>
          <cell r="L226">
            <v>7128</v>
          </cell>
        </row>
        <row r="227">
          <cell r="C227" t="str">
            <v>Bolt and Nuts M22-80 mm</v>
          </cell>
          <cell r="E227">
            <v>1</v>
          </cell>
          <cell r="F227" t="str">
            <v>Bh</v>
          </cell>
          <cell r="G227" t="str">
            <v>Bh</v>
          </cell>
          <cell r="H227">
            <v>0.43700000000000006</v>
          </cell>
          <cell r="I227">
            <v>0.43700000000000006</v>
          </cell>
          <cell r="K227">
            <v>7380.75</v>
          </cell>
          <cell r="L227">
            <v>7381</v>
          </cell>
        </row>
        <row r="228">
          <cell r="C228" t="str">
            <v>Bolt and Nuts M22-85 mm</v>
          </cell>
          <cell r="E228">
            <v>1</v>
          </cell>
          <cell r="F228" t="str">
            <v>Bh</v>
          </cell>
          <cell r="G228" t="str">
            <v>Bh</v>
          </cell>
          <cell r="H228">
            <v>0.45200000000000001</v>
          </cell>
          <cell r="I228">
            <v>0.45200000000000001</v>
          </cell>
          <cell r="K228">
            <v>7653.75</v>
          </cell>
          <cell r="L228">
            <v>7654</v>
          </cell>
        </row>
        <row r="229">
          <cell r="C229" t="str">
            <v>Bolt and Nuts M22-90 mm</v>
          </cell>
          <cell r="E229">
            <v>1</v>
          </cell>
          <cell r="F229" t="str">
            <v>Bh</v>
          </cell>
          <cell r="G229" t="str">
            <v>Bh</v>
          </cell>
          <cell r="H229">
            <v>0.46700000000000003</v>
          </cell>
          <cell r="I229">
            <v>0.46700000000000003</v>
          </cell>
          <cell r="K229">
            <v>7907.25</v>
          </cell>
          <cell r="L229">
            <v>7908</v>
          </cell>
        </row>
        <row r="230">
          <cell r="C230" t="str">
            <v>Bolt and Nuts M22-95 mm</v>
          </cell>
          <cell r="E230">
            <v>1</v>
          </cell>
          <cell r="F230" t="str">
            <v>Bh</v>
          </cell>
          <cell r="G230" t="str">
            <v>Bh</v>
          </cell>
          <cell r="H230">
            <v>0.48200000000000004</v>
          </cell>
          <cell r="I230">
            <v>0.48200000000000004</v>
          </cell>
          <cell r="K230">
            <v>8147.75</v>
          </cell>
          <cell r="L230">
            <v>8148</v>
          </cell>
        </row>
        <row r="231">
          <cell r="C231" t="str">
            <v>Bolt and Nuts M22-100 mm</v>
          </cell>
          <cell r="E231">
            <v>1</v>
          </cell>
          <cell r="F231" t="str">
            <v>Bh</v>
          </cell>
          <cell r="G231" t="str">
            <v>Bh</v>
          </cell>
          <cell r="H231">
            <v>0.49700000000000005</v>
          </cell>
          <cell r="I231">
            <v>0.49700000000000005</v>
          </cell>
          <cell r="K231">
            <v>8485.75</v>
          </cell>
          <cell r="L231">
            <v>8486</v>
          </cell>
        </row>
        <row r="232">
          <cell r="C232" t="str">
            <v>Bolt and Nuts M22-110 mm</v>
          </cell>
          <cell r="E232">
            <v>1</v>
          </cell>
          <cell r="F232" t="str">
            <v>Bh</v>
          </cell>
          <cell r="G232" t="str">
            <v>Bh</v>
          </cell>
          <cell r="H232">
            <v>0.52700000000000002</v>
          </cell>
          <cell r="I232">
            <v>0.52700000000000002</v>
          </cell>
          <cell r="K232">
            <v>8953.75</v>
          </cell>
          <cell r="L232">
            <v>8954</v>
          </cell>
        </row>
        <row r="233">
          <cell r="C233" t="str">
            <v>Bolt and Nuts M22-120 mm</v>
          </cell>
          <cell r="E233">
            <v>1</v>
          </cell>
          <cell r="F233" t="str">
            <v>Bh</v>
          </cell>
          <cell r="G233" t="str">
            <v>Bh</v>
          </cell>
          <cell r="H233">
            <v>0.55700000000000005</v>
          </cell>
          <cell r="I233">
            <v>0.55700000000000005</v>
          </cell>
          <cell r="K233">
            <v>9473.75</v>
          </cell>
          <cell r="L233">
            <v>9474</v>
          </cell>
        </row>
        <row r="234">
          <cell r="C234" t="str">
            <v>Bolt and Nuts M22-130 mm</v>
          </cell>
          <cell r="E234">
            <v>1</v>
          </cell>
          <cell r="F234" t="str">
            <v>Bh</v>
          </cell>
          <cell r="G234" t="str">
            <v>Bh</v>
          </cell>
          <cell r="H234">
            <v>0.58700000000000008</v>
          </cell>
          <cell r="I234">
            <v>0.58700000000000008</v>
          </cell>
          <cell r="K234">
            <v>9948.25</v>
          </cell>
          <cell r="L234">
            <v>9949</v>
          </cell>
        </row>
        <row r="235">
          <cell r="C235" t="str">
            <v>Bolt and Nuts M22-140 mm</v>
          </cell>
          <cell r="E235">
            <v>1</v>
          </cell>
          <cell r="F235" t="str">
            <v>Bh</v>
          </cell>
          <cell r="G235" t="str">
            <v>Bh</v>
          </cell>
          <cell r="H235">
            <v>0.61699999999999999</v>
          </cell>
          <cell r="I235">
            <v>0.61699999999999999</v>
          </cell>
          <cell r="K235">
            <v>10481.25</v>
          </cell>
          <cell r="L235">
            <v>10482</v>
          </cell>
        </row>
        <row r="236">
          <cell r="C236" t="str">
            <v>Bolt and Nuts M22-150 mm</v>
          </cell>
          <cell r="E236">
            <v>1</v>
          </cell>
          <cell r="F236" t="str">
            <v>Bh</v>
          </cell>
          <cell r="G236" t="str">
            <v>Bh</v>
          </cell>
          <cell r="H236">
            <v>0.64700000000000002</v>
          </cell>
          <cell r="I236">
            <v>0.64700000000000002</v>
          </cell>
          <cell r="K236">
            <v>10994.75</v>
          </cell>
          <cell r="L236">
            <v>10995</v>
          </cell>
        </row>
        <row r="237">
          <cell r="C237" t="str">
            <v>Bolt and Nuts M22-160 mm</v>
          </cell>
          <cell r="E237">
            <v>1</v>
          </cell>
          <cell r="F237" t="str">
            <v>Bh</v>
          </cell>
          <cell r="G237" t="str">
            <v>Bh</v>
          </cell>
          <cell r="H237">
            <v>0.67700000000000005</v>
          </cell>
          <cell r="I237">
            <v>0.67700000000000005</v>
          </cell>
          <cell r="K237">
            <v>12619.75</v>
          </cell>
          <cell r="L237">
            <v>12620</v>
          </cell>
        </row>
        <row r="238">
          <cell r="C238" t="str">
            <v>Bolt and Nuts M22-170 mm</v>
          </cell>
          <cell r="E238">
            <v>1</v>
          </cell>
          <cell r="F238" t="str">
            <v>Bh</v>
          </cell>
          <cell r="G238" t="str">
            <v>Bh</v>
          </cell>
          <cell r="H238">
            <v>0.70700000000000007</v>
          </cell>
          <cell r="I238">
            <v>0.70700000000000007</v>
          </cell>
          <cell r="K238">
            <v>13393.25</v>
          </cell>
          <cell r="L238">
            <v>13394</v>
          </cell>
        </row>
        <row r="239">
          <cell r="C239" t="str">
            <v>Bolt and Nuts M22-180 mm</v>
          </cell>
          <cell r="E239">
            <v>1</v>
          </cell>
          <cell r="F239" t="str">
            <v>Bh</v>
          </cell>
          <cell r="G239" t="str">
            <v>Bh</v>
          </cell>
          <cell r="H239">
            <v>0.72699999999999998</v>
          </cell>
          <cell r="I239">
            <v>0.72699999999999998</v>
          </cell>
          <cell r="K239">
            <v>14069.25</v>
          </cell>
          <cell r="L239">
            <v>14070</v>
          </cell>
        </row>
        <row r="240">
          <cell r="C240" t="str">
            <v>Bolt and Nuts M22-190 mm</v>
          </cell>
          <cell r="E240">
            <v>1</v>
          </cell>
          <cell r="F240" t="str">
            <v>Bh</v>
          </cell>
          <cell r="G240" t="str">
            <v>Bh</v>
          </cell>
          <cell r="H240">
            <v>0.75700000000000001</v>
          </cell>
          <cell r="I240">
            <v>0.75700000000000001</v>
          </cell>
          <cell r="K240">
            <v>14797.25</v>
          </cell>
          <cell r="L240">
            <v>14798</v>
          </cell>
        </row>
        <row r="241">
          <cell r="C241" t="str">
            <v>Bolt and Nuts M22-200 mm</v>
          </cell>
          <cell r="E241">
            <v>1</v>
          </cell>
          <cell r="F241" t="str">
            <v>Bh</v>
          </cell>
          <cell r="G241" t="str">
            <v>Bh</v>
          </cell>
          <cell r="H241">
            <v>0.78700000000000003</v>
          </cell>
          <cell r="I241">
            <v>0.78700000000000003</v>
          </cell>
          <cell r="K241">
            <v>15512.25</v>
          </cell>
          <cell r="L241">
            <v>15513</v>
          </cell>
        </row>
        <row r="243">
          <cell r="C243" t="str">
            <v>Bolt and Nuts M24-50 mm</v>
          </cell>
          <cell r="E243">
            <v>1</v>
          </cell>
          <cell r="F243" t="str">
            <v>Bh</v>
          </cell>
          <cell r="G243" t="str">
            <v>Bh</v>
          </cell>
          <cell r="H243">
            <v>0.43700000000000006</v>
          </cell>
          <cell r="I243">
            <v>0.43700000000000006</v>
          </cell>
          <cell r="K243">
            <v>7503.6</v>
          </cell>
          <cell r="L243">
            <v>7504</v>
          </cell>
        </row>
        <row r="244">
          <cell r="C244" t="str">
            <v>Bolt and Nuts M24-55 mm</v>
          </cell>
          <cell r="E244">
            <v>1</v>
          </cell>
          <cell r="F244" t="str">
            <v>Bh</v>
          </cell>
          <cell r="G244" t="str">
            <v>Bh</v>
          </cell>
          <cell r="H244">
            <v>0.44700000000000001</v>
          </cell>
          <cell r="I244">
            <v>0.44700000000000001</v>
          </cell>
          <cell r="K244">
            <v>7750.6</v>
          </cell>
          <cell r="L244">
            <v>7751</v>
          </cell>
        </row>
        <row r="245">
          <cell r="C245" t="str">
            <v>Bolt and Nuts M24-60 mm</v>
          </cell>
          <cell r="E245">
            <v>1</v>
          </cell>
          <cell r="F245" t="str">
            <v>Bh</v>
          </cell>
          <cell r="G245" t="str">
            <v>Bh</v>
          </cell>
          <cell r="H245">
            <v>0.46700000000000003</v>
          </cell>
          <cell r="I245">
            <v>0.46700000000000003</v>
          </cell>
          <cell r="K245">
            <v>8030.1</v>
          </cell>
          <cell r="L245">
            <v>8031</v>
          </cell>
        </row>
        <row r="246">
          <cell r="C246" t="str">
            <v>Bolt and Nuts M24-65 mm</v>
          </cell>
          <cell r="E246">
            <v>1</v>
          </cell>
          <cell r="F246" t="str">
            <v>Bh</v>
          </cell>
          <cell r="G246" t="str">
            <v>Bh</v>
          </cell>
          <cell r="H246">
            <v>0.47700000000000004</v>
          </cell>
          <cell r="I246">
            <v>0.47700000000000004</v>
          </cell>
          <cell r="K246">
            <v>8381.1</v>
          </cell>
          <cell r="L246">
            <v>8382</v>
          </cell>
        </row>
        <row r="247">
          <cell r="C247" t="str">
            <v>Bolt and Nuts M24-70 mm</v>
          </cell>
          <cell r="E247">
            <v>1</v>
          </cell>
          <cell r="F247" t="str">
            <v>Bh</v>
          </cell>
          <cell r="G247" t="str">
            <v>Bh</v>
          </cell>
          <cell r="H247">
            <v>0.49700000000000005</v>
          </cell>
          <cell r="I247">
            <v>0.49700000000000005</v>
          </cell>
          <cell r="K247">
            <v>8693.1</v>
          </cell>
          <cell r="L247">
            <v>8694</v>
          </cell>
        </row>
        <row r="248">
          <cell r="C248" t="str">
            <v>Bolt and Nuts M24-75 mm</v>
          </cell>
          <cell r="E248">
            <v>1</v>
          </cell>
          <cell r="F248" t="str">
            <v>Bh</v>
          </cell>
          <cell r="G248" t="str">
            <v>Bh</v>
          </cell>
          <cell r="H248">
            <v>0.51700000000000002</v>
          </cell>
          <cell r="I248">
            <v>0.51700000000000002</v>
          </cell>
          <cell r="K248">
            <v>8998.6</v>
          </cell>
          <cell r="L248">
            <v>8999</v>
          </cell>
        </row>
        <row r="249">
          <cell r="C249" t="str">
            <v>Bolt and Nuts M24-80 mm</v>
          </cell>
          <cell r="E249">
            <v>1</v>
          </cell>
          <cell r="F249" t="str">
            <v>Bh</v>
          </cell>
          <cell r="G249" t="str">
            <v>Bh</v>
          </cell>
          <cell r="H249">
            <v>0.53700000000000003</v>
          </cell>
          <cell r="I249">
            <v>0.53700000000000003</v>
          </cell>
          <cell r="K249">
            <v>9330.1</v>
          </cell>
          <cell r="L249">
            <v>9331</v>
          </cell>
        </row>
        <row r="250">
          <cell r="C250" t="str">
            <v>Bolt and Nuts M24-85 mm</v>
          </cell>
          <cell r="E250">
            <v>1</v>
          </cell>
          <cell r="F250" t="str">
            <v>Bh</v>
          </cell>
          <cell r="G250" t="str">
            <v>Bh</v>
          </cell>
          <cell r="H250">
            <v>0.55200000000000005</v>
          </cell>
          <cell r="I250">
            <v>0.55200000000000005</v>
          </cell>
          <cell r="K250">
            <v>9609.6</v>
          </cell>
          <cell r="L250">
            <v>9610</v>
          </cell>
        </row>
        <row r="251">
          <cell r="C251" t="str">
            <v>Bolt and Nuts M24-90 mm</v>
          </cell>
          <cell r="E251">
            <v>1</v>
          </cell>
          <cell r="F251" t="str">
            <v>Bh</v>
          </cell>
          <cell r="G251" t="str">
            <v>Bh</v>
          </cell>
          <cell r="H251">
            <v>0.56700000000000006</v>
          </cell>
          <cell r="I251">
            <v>0.56700000000000006</v>
          </cell>
          <cell r="K251">
            <v>9941.1</v>
          </cell>
          <cell r="L251">
            <v>9942</v>
          </cell>
        </row>
        <row r="252">
          <cell r="C252" t="str">
            <v>Bolt and Nuts M24-95 mm</v>
          </cell>
          <cell r="E252">
            <v>1</v>
          </cell>
          <cell r="F252" t="str">
            <v>Bh</v>
          </cell>
          <cell r="G252" t="str">
            <v>Bh</v>
          </cell>
          <cell r="H252">
            <v>0.58700000000000008</v>
          </cell>
          <cell r="I252">
            <v>0.58700000000000008</v>
          </cell>
          <cell r="K252">
            <v>10253.1</v>
          </cell>
          <cell r="L252">
            <v>10254</v>
          </cell>
        </row>
        <row r="253">
          <cell r="C253" t="str">
            <v>Bolt and Nuts M24-100 mm</v>
          </cell>
          <cell r="E253">
            <v>1</v>
          </cell>
          <cell r="F253" t="str">
            <v>Bh</v>
          </cell>
          <cell r="G253" t="str">
            <v>Bh</v>
          </cell>
          <cell r="H253">
            <v>0.60699999999999998</v>
          </cell>
          <cell r="I253">
            <v>0.60699999999999998</v>
          </cell>
          <cell r="K253">
            <v>10545.6</v>
          </cell>
          <cell r="L253">
            <v>10546</v>
          </cell>
        </row>
        <row r="254">
          <cell r="C254" t="str">
            <v>Bolt and Nuts M24-110 mm</v>
          </cell>
          <cell r="E254">
            <v>1</v>
          </cell>
          <cell r="F254" t="str">
            <v>Bh</v>
          </cell>
          <cell r="G254" t="str">
            <v>Bh</v>
          </cell>
          <cell r="H254">
            <v>0.64700000000000002</v>
          </cell>
          <cell r="I254">
            <v>0.64700000000000002</v>
          </cell>
          <cell r="K254">
            <v>11182.6</v>
          </cell>
          <cell r="L254">
            <v>11183</v>
          </cell>
        </row>
        <row r="255">
          <cell r="C255" t="str">
            <v>Bolt and Nuts M24-120 mm</v>
          </cell>
          <cell r="E255">
            <v>1</v>
          </cell>
          <cell r="F255" t="str">
            <v>Bh</v>
          </cell>
          <cell r="G255" t="str">
            <v>Bh</v>
          </cell>
          <cell r="H255">
            <v>0.67700000000000005</v>
          </cell>
          <cell r="I255">
            <v>0.67700000000000005</v>
          </cell>
          <cell r="K255">
            <v>11754.6</v>
          </cell>
          <cell r="L255">
            <v>11755</v>
          </cell>
        </row>
        <row r="256">
          <cell r="C256" t="str">
            <v>Bolt and Nuts M24-130 mm</v>
          </cell>
          <cell r="E256">
            <v>1</v>
          </cell>
          <cell r="F256" t="str">
            <v>Bh</v>
          </cell>
          <cell r="G256" t="str">
            <v>Bh</v>
          </cell>
          <cell r="H256">
            <v>0.70700000000000007</v>
          </cell>
          <cell r="I256">
            <v>0.70700000000000007</v>
          </cell>
          <cell r="K256">
            <v>12352.6</v>
          </cell>
          <cell r="L256">
            <v>12353</v>
          </cell>
        </row>
        <row r="257">
          <cell r="C257" t="str">
            <v>Bolt and Nuts M24-140 mm</v>
          </cell>
          <cell r="E257">
            <v>1</v>
          </cell>
          <cell r="F257" t="str">
            <v>Bh</v>
          </cell>
          <cell r="G257" t="str">
            <v>Bh</v>
          </cell>
          <cell r="H257">
            <v>0.747</v>
          </cell>
          <cell r="I257">
            <v>0.747</v>
          </cell>
          <cell r="K257">
            <v>13035.1</v>
          </cell>
          <cell r="L257">
            <v>13036</v>
          </cell>
        </row>
        <row r="258">
          <cell r="C258" t="str">
            <v>Bolt and Nuts M24-150 mm</v>
          </cell>
          <cell r="E258">
            <v>1</v>
          </cell>
          <cell r="F258" t="str">
            <v>Bh</v>
          </cell>
          <cell r="G258" t="str">
            <v>Bh</v>
          </cell>
          <cell r="H258">
            <v>0.77700000000000002</v>
          </cell>
          <cell r="I258">
            <v>0.77700000000000002</v>
          </cell>
          <cell r="K258">
            <v>13659.1</v>
          </cell>
          <cell r="L258">
            <v>13660</v>
          </cell>
        </row>
        <row r="259">
          <cell r="C259" t="str">
            <v>Bolt and Nuts M24-160 mm</v>
          </cell>
          <cell r="E259">
            <v>1</v>
          </cell>
          <cell r="F259" t="str">
            <v>Bh</v>
          </cell>
          <cell r="G259" t="str">
            <v>Bh</v>
          </cell>
          <cell r="H259">
            <v>0.81700000000000006</v>
          </cell>
          <cell r="I259">
            <v>0.81700000000000006</v>
          </cell>
          <cell r="K259">
            <v>15635.1</v>
          </cell>
          <cell r="L259">
            <v>15636</v>
          </cell>
        </row>
        <row r="260">
          <cell r="C260" t="str">
            <v>Bolt and Nuts M24-170 mm</v>
          </cell>
          <cell r="E260">
            <v>1</v>
          </cell>
          <cell r="F260" t="str">
            <v>Bh</v>
          </cell>
          <cell r="G260" t="str">
            <v>Bh</v>
          </cell>
          <cell r="H260">
            <v>0.85699999999999998</v>
          </cell>
          <cell r="I260">
            <v>0.85699999999999998</v>
          </cell>
          <cell r="K260">
            <v>16525.599999999999</v>
          </cell>
          <cell r="L260">
            <v>16526</v>
          </cell>
        </row>
        <row r="261">
          <cell r="C261" t="str">
            <v>Bolt and Nuts M24-180 mm</v>
          </cell>
          <cell r="E261">
            <v>1</v>
          </cell>
          <cell r="F261" t="str">
            <v>Bh</v>
          </cell>
          <cell r="G261" t="str">
            <v>Bh</v>
          </cell>
          <cell r="H261">
            <v>0.88700000000000001</v>
          </cell>
          <cell r="I261">
            <v>0.88700000000000001</v>
          </cell>
          <cell r="K261">
            <v>17409.599999999999</v>
          </cell>
          <cell r="L261">
            <v>17410</v>
          </cell>
        </row>
        <row r="262">
          <cell r="C262" t="str">
            <v>Bolt and Nuts M24-190 mm</v>
          </cell>
          <cell r="E262">
            <v>1</v>
          </cell>
          <cell r="F262" t="str">
            <v>Bh</v>
          </cell>
          <cell r="G262" t="str">
            <v>Bh</v>
          </cell>
          <cell r="H262">
            <v>0.92700000000000005</v>
          </cell>
          <cell r="I262">
            <v>0.92700000000000005</v>
          </cell>
          <cell r="K262">
            <v>18300.099999999999</v>
          </cell>
          <cell r="L262">
            <v>18301</v>
          </cell>
        </row>
        <row r="263">
          <cell r="C263" t="str">
            <v>Bolt and Nuts M24-200 mm</v>
          </cell>
          <cell r="E263">
            <v>1</v>
          </cell>
          <cell r="F263" t="str">
            <v>Bh</v>
          </cell>
          <cell r="G263" t="str">
            <v>Bh</v>
          </cell>
          <cell r="H263">
            <v>0.95700000000000007</v>
          </cell>
          <cell r="I263">
            <v>0.95700000000000007</v>
          </cell>
          <cell r="K263">
            <v>19184.099999999999</v>
          </cell>
          <cell r="L263">
            <v>19185</v>
          </cell>
        </row>
        <row r="265">
          <cell r="C265" t="str">
            <v>ANGKUR ASTM A-307</v>
          </cell>
        </row>
        <row r="266">
          <cell r="C266" t="str">
            <v>Angkur dia. 25-1200 c/w 3 mur + 2 ring plate + 2 ring per</v>
          </cell>
          <cell r="E266">
            <v>1</v>
          </cell>
          <cell r="F266" t="str">
            <v>Bh</v>
          </cell>
          <cell r="G266" t="str">
            <v>Bh</v>
          </cell>
          <cell r="H266">
            <v>5.4807500000000005</v>
          </cell>
          <cell r="I266">
            <v>5.4807500000000005</v>
          </cell>
          <cell r="K266">
            <v>72257.142857142855</v>
          </cell>
          <cell r="L266">
            <v>72258</v>
          </cell>
        </row>
        <row r="267">
          <cell r="C267" t="str">
            <v>Angkur dia. 25-1400 c/w 3 mur + 2 ring plate + 2 ring per</v>
          </cell>
          <cell r="E267">
            <v>1</v>
          </cell>
          <cell r="F267" t="str">
            <v>Bh</v>
          </cell>
          <cell r="G267" t="str">
            <v>Bh</v>
          </cell>
          <cell r="H267">
            <v>6.2513750000000012</v>
          </cell>
          <cell r="I267">
            <v>6.2513750000000012</v>
          </cell>
          <cell r="K267">
            <v>84300</v>
          </cell>
          <cell r="L267">
            <v>84300</v>
          </cell>
        </row>
        <row r="268">
          <cell r="C268" t="str">
            <v>Angkur dia. 25-1500 c/w 3 mur + 2 ring plate + 2 ring per</v>
          </cell>
          <cell r="E268">
            <v>1</v>
          </cell>
          <cell r="F268" t="str">
            <v>Bh</v>
          </cell>
          <cell r="G268" t="str">
            <v>Bh</v>
          </cell>
          <cell r="H268">
            <v>6.6366875000000007</v>
          </cell>
          <cell r="I268">
            <v>6.6366875000000007</v>
          </cell>
          <cell r="K268">
            <v>53636</v>
          </cell>
          <cell r="L268">
            <v>53636</v>
          </cell>
        </row>
        <row r="269">
          <cell r="C269" t="str">
            <v>Angkur dia. 30-1400 c/w 3 mur + 2 ring plate + 2 ring per</v>
          </cell>
          <cell r="E269">
            <v>1</v>
          </cell>
          <cell r="F269" t="str">
            <v>Bh</v>
          </cell>
          <cell r="G269" t="str">
            <v>Bh</v>
          </cell>
          <cell r="H269">
            <v>8.8839000000000006</v>
          </cell>
          <cell r="I269">
            <v>8.8839000000000006</v>
          </cell>
          <cell r="K269">
            <v>146000</v>
          </cell>
          <cell r="L269">
            <v>146000</v>
          </cell>
        </row>
        <row r="270">
          <cell r="C270" t="str">
            <v>Angkur dia. 30-1500 c/w 3 mur + 2 ring plate + 2 ring per</v>
          </cell>
          <cell r="E270">
            <v>1</v>
          </cell>
          <cell r="F270" t="str">
            <v>Bh</v>
          </cell>
          <cell r="G270" t="str">
            <v>Bh</v>
          </cell>
          <cell r="H270">
            <v>9.4387500000000006</v>
          </cell>
          <cell r="I270">
            <v>9.4387500000000006</v>
          </cell>
          <cell r="K270">
            <v>154909.09090909088</v>
          </cell>
          <cell r="L270">
            <v>154910</v>
          </cell>
        </row>
        <row r="271">
          <cell r="C271" t="str">
            <v>Angkur dia. 32-1750 c/w 3 mur + 2 ring plate + 2 ring per</v>
          </cell>
          <cell r="E271">
            <v>1</v>
          </cell>
          <cell r="F271" t="str">
            <v>Bh</v>
          </cell>
          <cell r="G271" t="str">
            <v>Bh</v>
          </cell>
          <cell r="H271">
            <v>12.494679999999999</v>
          </cell>
          <cell r="I271">
            <v>12.494679999999999</v>
          </cell>
          <cell r="K271">
            <v>175000</v>
          </cell>
          <cell r="L271">
            <v>175000</v>
          </cell>
        </row>
        <row r="273">
          <cell r="C273" t="str">
            <v>Sock &amp; Reducer</v>
          </cell>
        </row>
        <row r="274">
          <cell r="C274" t="str">
            <v>Sock Drat Dalam Reducer pipa 1" x 3/4" Galvanis</v>
          </cell>
          <cell r="G274" t="str">
            <v>Bh</v>
          </cell>
          <cell r="K274">
            <v>4000</v>
          </cell>
        </row>
        <row r="275">
          <cell r="C275" t="str">
            <v>Sock Drat Dalam Reducer pipa 2" x 1" Galvanis</v>
          </cell>
          <cell r="G275" t="str">
            <v>Bh</v>
          </cell>
          <cell r="K275">
            <v>5000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RAFT_Batch 2 (3)"/>
      <sheetName val="DRAFT_Batch 2 (2)"/>
      <sheetName val="DRAFT_Batch 1"/>
      <sheetName val="Sheet3"/>
      <sheetName val="DRAFT_Batch 2"/>
      <sheetName val="Validation"/>
      <sheetName val="Duration"/>
      <sheetName val="Schedule Imp CME"/>
      <sheetName val="ADD TRANSP.MANYAMPA"/>
      <sheetName val="Jiku Besar"/>
      <sheetName val="Sheet1"/>
      <sheetName val="DRAFT_Batch 1 (9 site) rev"/>
    </sheetNames>
    <sheetDataSet>
      <sheetData sheetId="0"/>
      <sheetData sheetId="1"/>
      <sheetData sheetId="2"/>
      <sheetData sheetId="3"/>
      <sheetData sheetId="4"/>
      <sheetData sheetId="5">
        <row r="2">
          <cell r="A2" t="str">
            <v>MONOPOLE, STREET LIGHT POLE  (SLP) - GREENFIELD</v>
          </cell>
          <cell r="B2" t="str">
            <v>Atrya Original SST 42 M_NL</v>
          </cell>
          <cell r="C2" t="str">
            <v>Atrya Original SST 42 M_NL</v>
          </cell>
          <cell r="D2" t="str">
            <v>SHELTER CKD</v>
          </cell>
          <cell r="E2" t="str">
            <v>ME FOR SHELTER CKD / STACKING SHELTER CKD / BSC PERMANENT SHELTER</v>
          </cell>
          <cell r="F2" t="str">
            <v>FENCE &amp; YARD : 10x10 (MP15, MP24, MP30, MP36)</v>
          </cell>
          <cell r="I2" t="str">
            <v xml:space="preserve">Power House 1+0 Sound Proof </v>
          </cell>
          <cell r="P2" t="str">
            <v>South &amp; Central Kalimantan</v>
          </cell>
        </row>
        <row r="3">
          <cell r="A3" t="str">
            <v>NEW LIGHT (NL) - GREENFIELD</v>
          </cell>
          <cell r="B3" t="str">
            <v>Atrya Original SST 52 M_NL</v>
          </cell>
          <cell r="C3" t="str">
            <v>Atrya Original SST 52 M_NL</v>
          </cell>
          <cell r="D3" t="str">
            <v>Base Frame Type A - BTS OD 4 KABINET, GF</v>
          </cell>
          <cell r="E3" t="str">
            <v>ME RT OD BTS Minitower 10m</v>
          </cell>
          <cell r="F3" t="str">
            <v>FENCE &amp; YARD : 9x12 (NL42m, NL52m, ML30m, ML36m, ML42m)</v>
          </cell>
          <cell r="I3" t="str">
            <v xml:space="preserve">Power House 1+0 Non-Sound Proof </v>
          </cell>
          <cell r="P3" t="str">
            <v>West Kalimantan</v>
          </cell>
        </row>
        <row r="4">
          <cell r="A4" t="str">
            <v>MEDIUM LIGHT (ML) - GREENFIELD</v>
          </cell>
          <cell r="B4" t="str">
            <v>Atrya Original SST 62 M_NL</v>
          </cell>
          <cell r="C4" t="str">
            <v>Atrya Original SST 62 M_NL</v>
          </cell>
          <cell r="E4" t="str">
            <v>ME RT OD BTS Minitower 15m</v>
          </cell>
          <cell r="F4" t="str">
            <v>FENCE &amp; YARD : 12x14 (NL62m)</v>
          </cell>
          <cell r="I4" t="str">
            <v>Genset Cage using Harmonica Wire (including padlock)</v>
          </cell>
          <cell r="P4" t="str">
            <v>East Kalimantan</v>
          </cell>
        </row>
        <row r="5">
          <cell r="A5" t="str">
            <v>SST HUB LIGHT (Hub Duty) - GREENFIELD</v>
          </cell>
          <cell r="B5" t="str">
            <v>Atrya Original SST 72 M_NL</v>
          </cell>
          <cell r="C5" t="str">
            <v>Atrya Original SST 72 M_NL</v>
          </cell>
          <cell r="E5" t="str">
            <v>ME RT OD BTS Minitower 20m</v>
          </cell>
          <cell r="F5" t="str">
            <v>FENCE &amp; YARD : 12x14 (NL72m)</v>
          </cell>
          <cell r="I5" t="str">
            <v>Genset Cage using Expanded Metal (including padlock)</v>
          </cell>
          <cell r="P5" t="str">
            <v>Northern Sulawesi</v>
          </cell>
        </row>
        <row r="6">
          <cell r="A6" t="str">
            <v>CAMOUFLAGE - GREENFIELD</v>
          </cell>
          <cell r="B6" t="str">
            <v>Atrya Original SST 82 M_NL</v>
          </cell>
          <cell r="C6" t="str">
            <v>Atrya Original SST 82 M_NL</v>
          </cell>
          <cell r="E6" t="str">
            <v>ME RT OD BTS, 3 Poles</v>
          </cell>
          <cell r="F6" t="str">
            <v>FENCE &amp; YARD : 13x15 (ML52m, ML62m, ML72m)</v>
          </cell>
          <cell r="I6" t="str">
            <v>Charge Discharge Battery Foundation (outdoor)</v>
          </cell>
          <cell r="P6" t="str">
            <v>Southern Sulawesi</v>
          </cell>
        </row>
        <row r="7">
          <cell r="A7" t="str">
            <v>POLE - ROOFTOP</v>
          </cell>
          <cell r="B7" t="str">
            <v>Atrya Original SST 92 M_NL</v>
          </cell>
          <cell r="C7" t="str">
            <v>Atrya Original SST 92 M_NL</v>
          </cell>
          <cell r="E7" t="str">
            <v>ME RT OD BTS, 2 Poles</v>
          </cell>
          <cell r="F7" t="str">
            <v>FENCE &amp; YARD : 15.5x17.5 (NL82m, NL92m)</v>
          </cell>
          <cell r="P7" t="str">
            <v>Maluku Island</v>
          </cell>
        </row>
        <row r="8">
          <cell r="A8" t="str">
            <v>MINI TOWER - ROOFTOP</v>
          </cell>
          <cell r="B8" t="str">
            <v>Atrya Original SST 30 M_ML</v>
          </cell>
          <cell r="C8" t="str">
            <v>Atrya Original SST 30 M_ML</v>
          </cell>
          <cell r="E8" t="str">
            <v>ME BTS Outdoor 4 KABINET 10x10</v>
          </cell>
          <cell r="F8" t="str">
            <v>FENCE &amp; YARD : 17.5x20 (SST102NL/ML)</v>
          </cell>
          <cell r="P8" t="str">
            <v>Papua</v>
          </cell>
        </row>
        <row r="9">
          <cell r="B9" t="str">
            <v>Atrya Original SST 36 M_ML</v>
          </cell>
          <cell r="C9" t="str">
            <v>Atrya Original SST 36 M_ML</v>
          </cell>
          <cell r="E9" t="str">
            <v>ME BTS Outdoor 4 KABINET 09x12 (NL42m, ML30m, ML36m, ML42m)</v>
          </cell>
          <cell r="M9" t="str">
            <v>AVR 7,5 KVA, 1 Phasa (incl 50 m NYM 4x6 mm2 cable &amp; cable ties )</v>
          </cell>
        </row>
        <row r="10">
          <cell r="B10" t="str">
            <v>Atrya Original SST 42 M_ML</v>
          </cell>
          <cell r="C10" t="str">
            <v>Atrya Original SST 42 M_ML</v>
          </cell>
          <cell r="E10" t="str">
            <v>ME BTS Outdoor 4 KABINET 09x12 (ML52m)</v>
          </cell>
          <cell r="M10" t="str">
            <v>AVR 25 KVA, 1 Phasa (incl 50 m NYM 4x6 mm2 cable &amp; cable ties )</v>
          </cell>
        </row>
        <row r="11">
          <cell r="B11" t="str">
            <v>Atrya Original SST 52 M_ML</v>
          </cell>
          <cell r="C11" t="str">
            <v>Atrya Original SST 52 M_ML</v>
          </cell>
          <cell r="E11" t="str">
            <v>ME BTS Outdoor 4 KABINET 12x14(NL62m)</v>
          </cell>
          <cell r="M11" t="str">
            <v>AVR 30 KVA, 1 Phasa (incl 50 m NYM 4x6 mm2 cable &amp; cable ties )</v>
          </cell>
        </row>
        <row r="12">
          <cell r="B12" t="str">
            <v>Atrya Original SST 62 M_ML</v>
          </cell>
          <cell r="C12" t="str">
            <v>Atrya Original SST 62 M_ML</v>
          </cell>
          <cell r="E12" t="str">
            <v>ME BTS Outdoor 4 KABINET 12x14(NL72m)</v>
          </cell>
          <cell r="M12" t="str">
            <v>Additional PLN Accessories</v>
          </cell>
        </row>
        <row r="13">
          <cell r="B13" t="str">
            <v>Atrya Original SST 72 M_ML</v>
          </cell>
          <cell r="C13" t="str">
            <v>Atrya Original SST 72 M_ML</v>
          </cell>
          <cell r="E13" t="str">
            <v>ME BTS Outdoor 4 KABINET 13x15(ML52m, ML62m, ML72m)</v>
          </cell>
        </row>
        <row r="14">
          <cell r="B14" t="str">
            <v>Floor Mounted pole 3 m (1 pole)</v>
          </cell>
          <cell r="E14" t="str">
            <v>ME BTS Outdoor 4 KABINET 15.5x17.5(NL82m)</v>
          </cell>
        </row>
        <row r="15">
          <cell r="B15" t="str">
            <v>Floor Mounted pole 6 m (1 pole)</v>
          </cell>
          <cell r="E15" t="str">
            <v>ME BTS Outdoor 4 KABINET 15.5x17.5(NL92m)</v>
          </cell>
        </row>
        <row r="16">
          <cell r="B16" t="str">
            <v>Floor Mounted pole 9 m (1 pole)</v>
          </cell>
          <cell r="E16" t="str">
            <v>ME BTS Outdoor 4 KABINET 17.5x20</v>
          </cell>
        </row>
        <row r="17">
          <cell r="B17" t="str">
            <v>Floor Mounted pole 12 m (1 pole)</v>
          </cell>
          <cell r="E17" t="str">
            <v>ME Flexi BTS (RT)</v>
          </cell>
        </row>
        <row r="18">
          <cell r="B18" t="str">
            <v>Wall Mounted Pole 3m (1 pole)</v>
          </cell>
          <cell r="E18" t="str">
            <v>ME Flexi BTS (GF)</v>
          </cell>
        </row>
        <row r="19">
          <cell r="B19" t="str">
            <v>Wall Mounted Pole 4m (1 pole)</v>
          </cell>
        </row>
        <row r="20">
          <cell r="B20" t="str">
            <v>Wall Mounted Pole 6m (1 pole)</v>
          </cell>
        </row>
        <row r="21">
          <cell r="B21" t="str">
            <v>MT 10M 3 Legged Tubular</v>
          </cell>
        </row>
        <row r="22">
          <cell r="B22" t="str">
            <v>MT 15 M. 3 Legged Tubular</v>
          </cell>
        </row>
        <row r="23">
          <cell r="B23" t="str">
            <v>MT 20 M 3 Legged Tubular</v>
          </cell>
        </row>
        <row r="26">
          <cell r="A26" t="str">
            <v>Yes</v>
          </cell>
          <cell r="B26" t="str">
            <v>Yes</v>
          </cell>
        </row>
        <row r="27">
          <cell r="A27" t="str">
            <v>No</v>
          </cell>
          <cell r="B27" t="str">
            <v>No</v>
          </cell>
        </row>
        <row r="30">
          <cell r="A30" t="str">
            <v>Yes</v>
          </cell>
        </row>
        <row r="31">
          <cell r="A31" t="str">
            <v>No</v>
          </cell>
        </row>
      </sheetData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AMMARGIN"/>
    </sheetNames>
    <sheetDataSet>
      <sheetData sheetId="0" refreshError="1">
        <row r="11">
          <cell r="D11">
            <v>30000</v>
          </cell>
        </row>
        <row r="12">
          <cell r="D12">
            <v>35000</v>
          </cell>
        </row>
        <row r="13">
          <cell r="D13">
            <v>25000</v>
          </cell>
        </row>
        <row r="14">
          <cell r="D14">
            <v>32500</v>
          </cell>
        </row>
        <row r="19">
          <cell r="D19">
            <v>300</v>
          </cell>
        </row>
        <row r="21">
          <cell r="D21">
            <v>5000</v>
          </cell>
        </row>
        <row r="29">
          <cell r="D29">
            <v>7800</v>
          </cell>
        </row>
        <row r="30">
          <cell r="D30">
            <v>4800</v>
          </cell>
        </row>
        <row r="33">
          <cell r="D33">
            <v>600000</v>
          </cell>
        </row>
        <row r="35">
          <cell r="D35">
            <v>80000</v>
          </cell>
        </row>
        <row r="41">
          <cell r="D41">
            <v>7000</v>
          </cell>
        </row>
        <row r="44">
          <cell r="D44">
            <v>43000</v>
          </cell>
        </row>
        <row r="45">
          <cell r="D45">
            <v>43000</v>
          </cell>
        </row>
        <row r="54">
          <cell r="D54">
            <v>28000</v>
          </cell>
        </row>
        <row r="58">
          <cell r="D58">
            <v>24000</v>
          </cell>
        </row>
      </sheetData>
      <sheetData sheetId="1" refreshError="1">
        <row r="4">
          <cell r="F4">
            <v>150</v>
          </cell>
        </row>
      </sheetData>
      <sheetData sheetId="2" refreshError="1">
        <row r="7">
          <cell r="G7">
            <v>1996.875</v>
          </cell>
        </row>
      </sheetData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DAF-6"/>
      <sheetName val="I-KAMAR"/>
      <sheetName val="Resume"/>
      <sheetName val="Koef"/>
      <sheetName val="Ph13C Coverage"/>
      <sheetName val="Event"/>
      <sheetName val="NQI ph2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Ph13C Coverage"/>
      <sheetName val="Event"/>
      <sheetName val="NQI ph2"/>
      <sheetName val="Discount Tables"/>
      <sheetName val="Curr, Site Names, Flex conf"/>
      <sheetName val="Cover"/>
      <sheetName val="Resume"/>
      <sheetName val="DATA-BASE"/>
      <sheetName val="GLP_s_changed_from_previous"/>
      <sheetName val="Ph13C_Coverage"/>
      <sheetName val="NQI_ph2"/>
      <sheetName val="Discount_Tables"/>
      <sheetName val="Curr,_Site_Names,_Flex_conf"/>
      <sheetName val="GL"/>
    </sheetNames>
    <sheetDataSet>
      <sheetData sheetId="0" refreshError="1">
        <row r="9">
          <cell r="D9">
            <v>30000</v>
          </cell>
        </row>
        <row r="10">
          <cell r="D10">
            <v>35000</v>
          </cell>
        </row>
        <row r="11">
          <cell r="D11">
            <v>25000</v>
          </cell>
        </row>
        <row r="12">
          <cell r="D12">
            <v>32500</v>
          </cell>
        </row>
        <row r="14">
          <cell r="D14">
            <v>2000</v>
          </cell>
        </row>
        <row r="16">
          <cell r="D16">
            <v>300</v>
          </cell>
        </row>
        <row r="18">
          <cell r="D18">
            <v>5000</v>
          </cell>
        </row>
        <row r="22">
          <cell r="D22">
            <v>5500</v>
          </cell>
        </row>
        <row r="25">
          <cell r="D25">
            <v>7800</v>
          </cell>
        </row>
        <row r="26">
          <cell r="D26">
            <v>4800</v>
          </cell>
        </row>
        <row r="29">
          <cell r="D29">
            <v>600000</v>
          </cell>
        </row>
        <row r="30">
          <cell r="D30">
            <v>2272.7272727272725</v>
          </cell>
        </row>
        <row r="31">
          <cell r="D31">
            <v>80000</v>
          </cell>
        </row>
        <row r="42">
          <cell r="D42">
            <v>7000</v>
          </cell>
        </row>
        <row r="43">
          <cell r="D43">
            <v>43000</v>
          </cell>
        </row>
        <row r="44">
          <cell r="D44">
            <v>43000</v>
          </cell>
        </row>
        <row r="45">
          <cell r="D45">
            <v>408765</v>
          </cell>
        </row>
        <row r="52">
          <cell r="D52">
            <v>4000</v>
          </cell>
        </row>
        <row r="56">
          <cell r="D56">
            <v>28000</v>
          </cell>
        </row>
        <row r="58">
          <cell r="D58">
            <v>24000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UKTUR-2002"/>
      <sheetName val="Jabotabek"/>
      <sheetName val="Outsite Jabotabek"/>
      <sheetName val="Jabotabek (2)"/>
      <sheetName val="Nesic-Incorrect"/>
      <sheetName val="SUMMARY"/>
      <sheetName val="DETAIL"/>
      <sheetName val="ref"/>
      <sheetName val="Outsite_Jabotabek"/>
      <sheetName val="Jabotabek_(2)"/>
      <sheetName val="Discount Tables"/>
      <sheetName val="Curr, Site Names, Flex conf"/>
      <sheetName val="Towers"/>
      <sheetName val="Outsite_Jabotabek1"/>
      <sheetName val="Jabotabek_(2)1"/>
      <sheetName val="Input"/>
      <sheetName val="Currency_and_Delivery_Terms"/>
      <sheetName val="Product_Line"/>
      <sheetName val="Input_Serv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ddle Java"/>
      <sheetName val="Middle Java GOS1.5%"/>
      <sheetName val="Middle Java NTP2 for RNP NTP3"/>
      <sheetName val="berlang"/>
    </sheetNames>
    <sheetDataSet>
      <sheetData sheetId="0" refreshError="1"/>
      <sheetData sheetId="1" refreshError="1"/>
      <sheetData sheetId="2" refreshError="1"/>
      <sheetData sheetId="3" refreshError="1">
        <row r="1">
          <cell r="A1" t="e">
            <v>#NAME?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Kalimantan_Batch 1"/>
      <sheetName val="Validation"/>
      <sheetName val="Duration"/>
      <sheetName val="Schedule Imp CME"/>
      <sheetName val="Sheet1"/>
    </sheetNames>
    <sheetDataSet>
      <sheetData sheetId="0" refreshError="1"/>
      <sheetData sheetId="1">
        <row r="2">
          <cell r="J2" t="str">
            <v>Atrya Original SST 42 M_NL</v>
          </cell>
          <cell r="K2" t="str">
            <v>Mini Pile ukuran dia. 30 cm (kondisi terpasang incl mobilisasi alat dan support lainnya)</v>
          </cell>
          <cell r="L2" t="str">
            <v>Cerucuk kayu ukuran dia. 10 cm panjang 4 m (kondisi terpasang incl mobilisasi alat dan support lainnya)</v>
          </cell>
          <cell r="M2" t="str">
            <v>PLN  Pole 7 m</v>
          </cell>
          <cell r="N2" t="str">
            <v>Guard House Type A</v>
          </cell>
        </row>
        <row r="3">
          <cell r="J3" t="str">
            <v>Atrya Original SST 52 M_NL</v>
          </cell>
          <cell r="K3" t="str">
            <v>Bored piled (machine) ukuran dia. 40 cm (kondisi terpasang incl mobilisasi alat dan support lainnya). Requirement based on actual cone penetration test result and good soil layer depth.</v>
          </cell>
          <cell r="L3" t="str">
            <v>Cerucuk bambu ukuran dia. 10 cm panjang 4 m  (kondisi terpasang incl mobilisasi alat dan support lainnya)</v>
          </cell>
          <cell r="M3" t="str">
            <v>PLN  Pole 9 m</v>
          </cell>
          <cell r="N3" t="str">
            <v>Guard House Type B</v>
          </cell>
        </row>
        <row r="4">
          <cell r="J4" t="str">
            <v>Atrya Original SST 62 M_NL</v>
          </cell>
          <cell r="K4" t="str">
            <v>Bored piled (machine) ukuran dia. 60 cm (kondisi terpasang incl mobilisasi alat dan support lainnya). Requirement based on actual cone penetration test result and good soil layer depth.</v>
          </cell>
          <cell r="M4" t="str">
            <v>PLN  Pole 11 m</v>
          </cell>
        </row>
        <row r="5">
          <cell r="J5" t="str">
            <v>Atrya Original SST 72 M_NL</v>
          </cell>
          <cell r="K5" t="str">
            <v>Bored piled (manual) ukuran dia. 80 cm (kondisi terpasang incl mobilisasi alat dan support lainnya). Requirement based on actual cone penetration test result and good soil layer depth.</v>
          </cell>
        </row>
        <row r="6">
          <cell r="J6" t="str">
            <v>Atrya Original SST 82 M_NL</v>
          </cell>
          <cell r="K6" t="str">
            <v>Bored piled (manual) ukuran dia. 100 cm (kondisi terpasang incl mobilisasi alat dan support lainnya). Requirement based on actual cone penetration test result and good soil layer depth.</v>
          </cell>
          <cell r="M6" t="str">
            <v>JTR (Jaringan Tegangan Rendah)</v>
          </cell>
        </row>
        <row r="7">
          <cell r="J7" t="str">
            <v>Atrya Original SST 92 M_NL</v>
          </cell>
          <cell r="M7" t="str">
            <v>JTM (Jaringan Tegangan Menengah)</v>
          </cell>
        </row>
        <row r="8">
          <cell r="J8" t="str">
            <v>Atrya Original SST 30 M_ML</v>
          </cell>
        </row>
        <row r="9">
          <cell r="J9" t="str">
            <v>Atrya Original SST 36 M_ML</v>
          </cell>
        </row>
        <row r="10">
          <cell r="J10" t="str">
            <v>Atrya Original SST 42 M_ML</v>
          </cell>
        </row>
        <row r="11">
          <cell r="J11" t="str">
            <v>Atrya Original SST 52 M_ML</v>
          </cell>
        </row>
        <row r="12">
          <cell r="J12" t="str">
            <v>Atrya Original SST 62 M_ML</v>
          </cell>
        </row>
        <row r="13">
          <cell r="J13" t="str">
            <v>Atrya Original SST 72 M_ML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dget (OraVer.2)"/>
      <sheetName val="CRITERIA2"/>
      <sheetName val="Budget (OraVer.2.1)"/>
      <sheetName val="CODE"/>
      <sheetName val="Budget 2"/>
      <sheetName val="Budget 2 (2)"/>
      <sheetName val="Budget 2 (3)"/>
      <sheetName val="Budget (reject)"/>
      <sheetName val="Antenna"/>
      <sheetName val="Harga (3)"/>
      <sheetName val="Prices"/>
      <sheetName val="Control"/>
      <sheetName val="Budget_(OraVer_2)"/>
      <sheetName val="Budget_(OraVer_2_1)"/>
      <sheetName val="Budget_2"/>
      <sheetName val="Budget_2_(2)"/>
      <sheetName val="Budget_2_(3)"/>
      <sheetName val="Budget_(reject)"/>
      <sheetName val="BSS Eqmpt Foreign"/>
      <sheetName val="Budget_(OraVer_2)1"/>
      <sheetName val="Budget_(OraVer_2_1)1"/>
      <sheetName val="Budget_21"/>
      <sheetName val="Budget_2_(2)1"/>
      <sheetName val="Budget_2_(3)1"/>
      <sheetName val="Budget_(reject)1"/>
      <sheetName val="Harga_(3)"/>
      <sheetName val="BSS_Eqmpt_Foreign"/>
      <sheetName val="GLP's and PSPC's"/>
      <sheetName val="Breakdown"/>
      <sheetName val="berlang"/>
      <sheetName val="Admin"/>
      <sheetName val="Bsc location"/>
      <sheetName val="Sheet2"/>
      <sheetName val="Sheet1"/>
    </sheetNames>
    <sheetDataSet>
      <sheetData sheetId="0" refreshError="1"/>
      <sheetData sheetId="1" refreshError="1">
        <row r="2">
          <cell r="B2" t="str">
            <v>Telkomsel Set of Books</v>
          </cell>
        </row>
        <row r="13">
          <cell r="B13" t="str">
            <v>BUDGET 2004</v>
          </cell>
        </row>
        <row r="14">
          <cell r="B14" t="str">
            <v>ALL</v>
          </cell>
        </row>
        <row r="16">
          <cell r="B16" t="str">
            <v>IDR</v>
          </cell>
        </row>
        <row r="39">
          <cell r="B39" t="str">
            <v>Production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/>
      <sheetData sheetId="16"/>
      <sheetData sheetId="17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i Nusra"/>
      <sheetName val="Bali Nusra GOS1.5%"/>
      <sheetName val="REV"/>
      <sheetName val="Bali Nusra GOS1.5% (2)"/>
      <sheetName val="berlang"/>
    </sheetNames>
    <sheetDataSet>
      <sheetData sheetId="0"/>
      <sheetData sheetId="1"/>
      <sheetData sheetId="2"/>
      <sheetData sheetId="3"/>
      <sheetData sheetId="4" refreshError="1">
        <row r="1">
          <cell r="A1" t="e">
            <v>#NAME?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COSY"/>
      <sheetName val="Shopping_list_CME"/>
      <sheetName val="Assumptions"/>
      <sheetName val="Cap_Mah"/>
      <sheetName val="SPRS breakdown pricing"/>
      <sheetName val="Parameters"/>
      <sheetName val="Ven_Fan"/>
      <sheetName val="Ana_Duct"/>
      <sheetName val="Hsd_Duct"/>
      <sheetName val="SPRS_breakdown_pricing"/>
      <sheetName val="Activity"/>
      <sheetName val="Complex"/>
      <sheetName val="Decision"/>
      <sheetName val="Employee"/>
      <sheetName val="Error"/>
      <sheetName val="Experience"/>
      <sheetName val="External"/>
      <sheetName val="Internal"/>
      <sheetName val="Knowledge"/>
      <sheetName val="Research"/>
      <sheetName val="Salary Grade"/>
      <sheetName val="1500P_3+0"/>
      <sheetName val="berlang"/>
      <sheetName val="GLP-DISCOUNT"/>
      <sheetName val="BSC_UPGRADES"/>
      <sheetName val="gvl"/>
      <sheetName val="D.78"/>
      <sheetName val="D.79"/>
      <sheetName val="D.80"/>
      <sheetName val="D.81"/>
      <sheetName val="D.82"/>
      <sheetName val="D.83"/>
      <sheetName val="D.84"/>
      <sheetName val="D.85"/>
      <sheetName val="D.86"/>
      <sheetName val="D.87"/>
      <sheetName val="D.88"/>
      <sheetName val="D.89"/>
      <sheetName val="D.91"/>
      <sheetName val="D.92"/>
      <sheetName val="D.93"/>
      <sheetName val="D.94"/>
      <sheetName val="D.95"/>
      <sheetName val="D.96"/>
      <sheetName val="Colocated Site List"/>
      <sheetName val="New Site List"/>
      <sheetName val="Status"/>
      <sheetName val="Ven_Fan1"/>
      <sheetName val="Ana_Duct1"/>
      <sheetName val="Hsd_Duct1"/>
      <sheetName val="SPRS_breakdown_pricing1"/>
      <sheetName val="Salary_Grade"/>
      <sheetName val="BOM"/>
      <sheetName val="Base"/>
      <sheetName val="Outsource_Costs"/>
      <sheetName val="I_Pricing"/>
      <sheetName val="Price_simulation"/>
      <sheetName val="C_RC_Financials"/>
      <sheetName val="I&amp;O_Valuation"/>
      <sheetName val="PART B TK Coeff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">
          <cell r="C1" t="str">
            <v>Project'99/Ujung pandang/Pipe-UPD.WK4</v>
          </cell>
        </row>
        <row r="2">
          <cell r="C2" t="str">
            <v>UNIT RATE ANALYSIS</v>
          </cell>
          <cell r="AH2" t="str">
            <v>Mark Up</v>
          </cell>
        </row>
        <row r="3">
          <cell r="C3" t="str">
            <v>PROJECT       :   Standart</v>
          </cell>
          <cell r="AH3">
            <v>1.1499999999999999</v>
          </cell>
        </row>
        <row r="4">
          <cell r="C4" t="str">
            <v xml:space="preserve">SUBJECT        :   PIPING  FOR  AIR  CONDITIONING </v>
          </cell>
        </row>
        <row r="5">
          <cell r="CB5" t="str">
            <v>Al.Foil</v>
          </cell>
          <cell r="CC5" t="str">
            <v>Adh.Tape</v>
          </cell>
        </row>
        <row r="6">
          <cell r="G6" t="str">
            <v>Price / M</v>
          </cell>
        </row>
        <row r="7">
          <cell r="A7" t="str">
            <v>Dia.</v>
          </cell>
          <cell r="C7" t="str">
            <v>Dia.</v>
          </cell>
          <cell r="E7" t="str">
            <v>Thickness</v>
          </cell>
          <cell r="G7" t="str">
            <v>Pipe</v>
          </cell>
          <cell r="I7" t="str">
            <v>Hanger</v>
          </cell>
          <cell r="K7" t="str">
            <v>Labour</v>
          </cell>
          <cell r="M7" t="str">
            <v>Fittings</v>
          </cell>
          <cell r="O7" t="str">
            <v>Insulation</v>
          </cell>
          <cell r="Q7" t="str">
            <v>Misc.</v>
          </cell>
          <cell r="S7" t="str">
            <v xml:space="preserve">Metal </v>
          </cell>
          <cell r="U7" t="str">
            <v>Total</v>
          </cell>
          <cell r="W7" t="str">
            <v>Total</v>
          </cell>
          <cell r="Y7" t="str">
            <v>Total</v>
          </cell>
          <cell r="AA7" t="str">
            <v>Total</v>
          </cell>
          <cell r="AC7" t="str">
            <v>Total</v>
          </cell>
          <cell r="AE7" t="str">
            <v>Total</v>
          </cell>
          <cell r="AH7" t="str">
            <v>Pipe</v>
          </cell>
          <cell r="AI7" t="str">
            <v>Hanger/</v>
          </cell>
          <cell r="AJ7" t="str">
            <v>Labour</v>
          </cell>
          <cell r="AK7" t="str">
            <v>Labour</v>
          </cell>
          <cell r="AL7" t="str">
            <v>Ins.</v>
          </cell>
          <cell r="AM7" t="str">
            <v>Misc.</v>
          </cell>
          <cell r="AN7" t="str">
            <v xml:space="preserve">M.Jack. </v>
          </cell>
          <cell r="AO7" t="str">
            <v>Aluminium</v>
          </cell>
          <cell r="AP7" t="str">
            <v>BJLS</v>
          </cell>
          <cell r="AQ7" t="str">
            <v>Vibration Control System</v>
          </cell>
          <cell r="AR7" t="str">
            <v>Vibration</v>
          </cell>
          <cell r="AU7" t="str">
            <v>Armaflex</v>
          </cell>
          <cell r="BC7" t="str">
            <v xml:space="preserve">Insulflex </v>
          </cell>
          <cell r="BJ7" t="str">
            <v>Thermaflex (FR-Z)</v>
          </cell>
          <cell r="BT7" t="str">
            <v>Phenofoam-K</v>
          </cell>
          <cell r="CB7" t="str">
            <v>Sisalation 430P</v>
          </cell>
          <cell r="CC7">
            <v>636.57407407407391</v>
          </cell>
          <cell r="CE7" t="str">
            <v>Price List</v>
          </cell>
        </row>
        <row r="8">
          <cell r="A8" t="str">
            <v>(inch)</v>
          </cell>
          <cell r="C8" t="str">
            <v>(mm)</v>
          </cell>
          <cell r="E8" t="str">
            <v>Ins.</v>
          </cell>
          <cell r="I8" t="str">
            <v>Support</v>
          </cell>
          <cell r="M8">
            <v>0.4</v>
          </cell>
          <cell r="S8" t="str">
            <v>Jacketing</v>
          </cell>
          <cell r="U8" t="str">
            <v>a+b</v>
          </cell>
          <cell r="W8" t="str">
            <v>a+b+d</v>
          </cell>
          <cell r="Y8" t="str">
            <v>h+e+f</v>
          </cell>
          <cell r="AA8" t="str">
            <v>i+e+f</v>
          </cell>
          <cell r="AC8" t="str">
            <v>j+g</v>
          </cell>
          <cell r="AE8" t="str">
            <v>k+g</v>
          </cell>
          <cell r="AI8" t="str">
            <v>Supports</v>
          </cell>
          <cell r="AJ8" t="str">
            <v>Pipe</v>
          </cell>
          <cell r="AK8" t="str">
            <v>Insulation</v>
          </cell>
          <cell r="AM8">
            <v>0.05</v>
          </cell>
          <cell r="AN8" t="str">
            <v xml:space="preserve">  0.4 mm</v>
          </cell>
          <cell r="AO8">
            <v>2546.2962962962961</v>
          </cell>
          <cell r="AP8">
            <v>2043.4375</v>
          </cell>
          <cell r="AQ8" t="str">
            <v xml:space="preserve">  HEA A140(8mm;144kg)</v>
          </cell>
          <cell r="AR8">
            <v>338100.00000000006</v>
          </cell>
          <cell r="AW8" t="str">
            <v>Disc =</v>
          </cell>
          <cell r="AX8">
            <v>0.3</v>
          </cell>
          <cell r="BE8" t="str">
            <v>Disc =</v>
          </cell>
          <cell r="BF8">
            <v>0.35</v>
          </cell>
          <cell r="BM8" t="str">
            <v>Disc =</v>
          </cell>
          <cell r="BN8">
            <v>0.15</v>
          </cell>
          <cell r="BV8" t="str">
            <v>Disc =</v>
          </cell>
          <cell r="BW8">
            <v>0.1</v>
          </cell>
          <cell r="CB8" t="str">
            <v>Sisalation 430</v>
          </cell>
          <cell r="CC8">
            <v>345.37037037037032</v>
          </cell>
          <cell r="CE8" t="str">
            <v>BSP</v>
          </cell>
          <cell r="CF8" t="str">
            <v>GIP</v>
          </cell>
          <cell r="CG8" t="str">
            <v>BSP</v>
          </cell>
        </row>
        <row r="9">
          <cell r="E9" t="str">
            <v>(Inch)</v>
          </cell>
          <cell r="G9" t="str">
            <v>(Rp.)</v>
          </cell>
          <cell r="I9" t="str">
            <v>(Rp.)</v>
          </cell>
          <cell r="K9" t="str">
            <v>(Rp.)</v>
          </cell>
          <cell r="M9" t="str">
            <v>(Rp.)</v>
          </cell>
          <cell r="O9" t="str">
            <v>(Rp.)</v>
          </cell>
          <cell r="Q9" t="str">
            <v>(Rp.)</v>
          </cell>
          <cell r="S9" t="str">
            <v>(Rp.)</v>
          </cell>
          <cell r="U9" t="str">
            <v>w/o fitt.&amp;ins.</v>
          </cell>
          <cell r="W9" t="str">
            <v>w/o insl.</v>
          </cell>
          <cell r="Y9" t="str">
            <v>w/o fitt</v>
          </cell>
          <cell r="AA9" t="str">
            <v>w/insl.</v>
          </cell>
          <cell r="AC9" t="str">
            <v>c/w M. Jack</v>
          </cell>
          <cell r="AE9" t="str">
            <v>c/w M. Jack</v>
          </cell>
          <cell r="AJ9">
            <v>2250</v>
          </cell>
          <cell r="AK9">
            <v>1000</v>
          </cell>
          <cell r="AN9" t="str">
            <v xml:space="preserve">  0.5 mm</v>
          </cell>
          <cell r="AO9">
            <v>3009.2592592592591</v>
          </cell>
          <cell r="AP9">
            <v>2516.71875</v>
          </cell>
          <cell r="AQ9" t="str">
            <v xml:space="preserve">  NM A30&amp;A50(7mm;133kg)</v>
          </cell>
          <cell r="AR9">
            <v>120540.00000000001</v>
          </cell>
          <cell r="AT9" t="str">
            <v>1/2"</v>
          </cell>
          <cell r="AU9" t="str">
            <v>3/4"</v>
          </cell>
          <cell r="AV9" t="str">
            <v>1</v>
          </cell>
          <cell r="AW9" t="str">
            <v>1 1/4"</v>
          </cell>
          <cell r="AX9" t="str">
            <v>1 1/2</v>
          </cell>
          <cell r="AY9" t="str">
            <v>2</v>
          </cell>
          <cell r="AZ9" t="str">
            <v>2 1/2</v>
          </cell>
          <cell r="BB9" t="str">
            <v>1/2"</v>
          </cell>
          <cell r="BC9" t="str">
            <v>3/4"</v>
          </cell>
          <cell r="BD9" t="str">
            <v>1</v>
          </cell>
          <cell r="BE9" t="str">
            <v>1 3/8"</v>
          </cell>
          <cell r="BF9" t="str">
            <v>1 1/2</v>
          </cell>
          <cell r="BG9" t="str">
            <v>2</v>
          </cell>
          <cell r="BH9" t="str">
            <v>2 1/2</v>
          </cell>
          <cell r="BJ9" t="str">
            <v>1/2 "</v>
          </cell>
          <cell r="BK9" t="str">
            <v>3/4 "</v>
          </cell>
          <cell r="BL9" t="str">
            <v>1</v>
          </cell>
          <cell r="BM9" t="str">
            <v>1 3/8"</v>
          </cell>
          <cell r="BN9" t="str">
            <v>1 1/2</v>
          </cell>
          <cell r="BO9" t="str">
            <v>1 3/4</v>
          </cell>
          <cell r="BP9" t="str">
            <v>2</v>
          </cell>
          <cell r="BQ9" t="str">
            <v>2 1/2</v>
          </cell>
          <cell r="BR9" t="str">
            <v>2 3/4</v>
          </cell>
          <cell r="BT9" t="str">
            <v>3/4"</v>
          </cell>
          <cell r="BU9" t="str">
            <v>1</v>
          </cell>
          <cell r="BV9" t="str">
            <v>1 1/4"</v>
          </cell>
          <cell r="BW9" t="str">
            <v>1 1/2</v>
          </cell>
          <cell r="BX9" t="str">
            <v>2</v>
          </cell>
          <cell r="BY9" t="str">
            <v>2 1/2</v>
          </cell>
          <cell r="BZ9" t="str">
            <v>2 3/4</v>
          </cell>
          <cell r="CB9" t="str">
            <v>Thermofoil 730</v>
          </cell>
          <cell r="CC9">
            <v>643.00411522633726</v>
          </cell>
          <cell r="CE9" t="str">
            <v>Medium</v>
          </cell>
          <cell r="CF9" t="str">
            <v>Medium</v>
          </cell>
          <cell r="CG9" t="str">
            <v>Sch 40</v>
          </cell>
        </row>
        <row r="10">
          <cell r="G10" t="str">
            <v>a</v>
          </cell>
          <cell r="I10" t="str">
            <v>b</v>
          </cell>
          <cell r="K10" t="str">
            <v>c</v>
          </cell>
          <cell r="M10" t="str">
            <v>d</v>
          </cell>
          <cell r="O10" t="str">
            <v>e</v>
          </cell>
          <cell r="Q10" t="str">
            <v>f</v>
          </cell>
          <cell r="S10" t="str">
            <v>g</v>
          </cell>
          <cell r="U10" t="str">
            <v>h</v>
          </cell>
          <cell r="W10" t="str">
            <v>i</v>
          </cell>
          <cell r="Y10" t="str">
            <v>j</v>
          </cell>
          <cell r="AA10" t="str">
            <v>k</v>
          </cell>
          <cell r="AC10" t="str">
            <v>l</v>
          </cell>
          <cell r="AE10" t="str">
            <v>m</v>
          </cell>
          <cell r="AH10">
            <v>0.4</v>
          </cell>
          <cell r="AN10" t="str">
            <v xml:space="preserve">  0.6 mm</v>
          </cell>
          <cell r="AO10">
            <v>4004.6296296296296</v>
          </cell>
          <cell r="AP10">
            <v>3026.5625</v>
          </cell>
          <cell r="AQ10" t="str">
            <v xml:space="preserve">  NM B50&amp;B60(7mm;216kg)</v>
          </cell>
          <cell r="AR10">
            <v>201390.00000000003</v>
          </cell>
          <cell r="CB10" t="str">
            <v>Thermofoil 731 EE</v>
          </cell>
          <cell r="CC10">
            <v>193.82716049382717</v>
          </cell>
        </row>
        <row r="13">
          <cell r="C13" t="str">
            <v xml:space="preserve">Chilled Water Pipe </v>
          </cell>
        </row>
        <row r="14">
          <cell r="C14" t="str">
            <v>Material      :  Galvanized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E17">
            <v>1</v>
          </cell>
          <cell r="G17">
            <v>7190</v>
          </cell>
          <cell r="I17">
            <v>1960</v>
          </cell>
        </row>
        <row r="18">
          <cell r="A18">
            <v>0.75</v>
          </cell>
          <cell r="C18">
            <v>20</v>
          </cell>
          <cell r="E18">
            <v>1</v>
          </cell>
          <cell r="G18">
            <v>3510</v>
          </cell>
          <cell r="I18">
            <v>2070</v>
          </cell>
        </row>
        <row r="19">
          <cell r="A19">
            <v>1</v>
          </cell>
          <cell r="C19">
            <v>25</v>
          </cell>
          <cell r="E19">
            <v>1</v>
          </cell>
          <cell r="G19">
            <v>13970</v>
          </cell>
          <cell r="I19">
            <v>2110</v>
          </cell>
        </row>
        <row r="20">
          <cell r="A20">
            <v>1.25</v>
          </cell>
          <cell r="C20">
            <v>32</v>
          </cell>
          <cell r="E20">
            <v>1</v>
          </cell>
          <cell r="G20">
            <v>18340</v>
          </cell>
          <cell r="I20">
            <v>2150</v>
          </cell>
        </row>
        <row r="21">
          <cell r="A21">
            <v>1.5</v>
          </cell>
          <cell r="C21">
            <v>40</v>
          </cell>
          <cell r="E21">
            <v>1.25</v>
          </cell>
          <cell r="G21">
            <v>20760</v>
          </cell>
          <cell r="I21">
            <v>2190</v>
          </cell>
        </row>
        <row r="22">
          <cell r="A22">
            <v>2</v>
          </cell>
          <cell r="C22">
            <v>50</v>
          </cell>
          <cell r="E22">
            <v>1.25</v>
          </cell>
          <cell r="G22">
            <v>30300</v>
          </cell>
          <cell r="I22">
            <v>2230</v>
          </cell>
        </row>
        <row r="23">
          <cell r="A23">
            <v>2.5</v>
          </cell>
          <cell r="C23">
            <v>65</v>
          </cell>
          <cell r="E23">
            <v>1.25</v>
          </cell>
          <cell r="G23">
            <v>37200</v>
          </cell>
          <cell r="I23">
            <v>2360</v>
          </cell>
        </row>
        <row r="24">
          <cell r="A24">
            <v>3</v>
          </cell>
          <cell r="C24">
            <v>80</v>
          </cell>
          <cell r="E24">
            <v>1.25</v>
          </cell>
          <cell r="G24">
            <v>48880</v>
          </cell>
          <cell r="I24">
            <v>3580</v>
          </cell>
        </row>
        <row r="25">
          <cell r="A25">
            <v>4</v>
          </cell>
          <cell r="C25">
            <v>100</v>
          </cell>
          <cell r="E25">
            <v>1.25</v>
          </cell>
          <cell r="G25">
            <v>69980</v>
          </cell>
          <cell r="I25">
            <v>3690</v>
          </cell>
        </row>
        <row r="26">
          <cell r="A26">
            <v>5</v>
          </cell>
          <cell r="C26">
            <v>125</v>
          </cell>
          <cell r="E26">
            <v>1.25</v>
          </cell>
          <cell r="G26">
            <v>87170</v>
          </cell>
          <cell r="I26">
            <v>4230</v>
          </cell>
        </row>
        <row r="27">
          <cell r="A27">
            <v>6</v>
          </cell>
          <cell r="C27">
            <v>150</v>
          </cell>
          <cell r="E27">
            <v>1.5</v>
          </cell>
          <cell r="G27">
            <v>103440</v>
          </cell>
          <cell r="I27">
            <v>4370</v>
          </cell>
        </row>
        <row r="28">
          <cell r="A28">
            <v>8</v>
          </cell>
          <cell r="C28">
            <v>200</v>
          </cell>
          <cell r="E28">
            <v>1.5</v>
          </cell>
          <cell r="G28">
            <v>198610</v>
          </cell>
          <cell r="I28">
            <v>4640</v>
          </cell>
        </row>
        <row r="29">
          <cell r="A29">
            <v>10</v>
          </cell>
          <cell r="C29">
            <v>250</v>
          </cell>
          <cell r="E29">
            <v>1.5</v>
          </cell>
          <cell r="G29">
            <v>248920</v>
          </cell>
          <cell r="I29">
            <v>4910</v>
          </cell>
        </row>
        <row r="30">
          <cell r="A30">
            <v>12</v>
          </cell>
          <cell r="C30">
            <v>300</v>
          </cell>
          <cell r="E30">
            <v>1.5</v>
          </cell>
          <cell r="G30">
            <v>296300</v>
          </cell>
          <cell r="I30">
            <v>5190</v>
          </cell>
        </row>
        <row r="31">
          <cell r="A31">
            <v>14</v>
          </cell>
          <cell r="C31">
            <v>350</v>
          </cell>
          <cell r="E31">
            <v>1.5</v>
          </cell>
          <cell r="G31">
            <v>330280</v>
          </cell>
          <cell r="I31">
            <v>5190</v>
          </cell>
        </row>
        <row r="32">
          <cell r="A32">
            <v>16</v>
          </cell>
          <cell r="B32">
            <v>16</v>
          </cell>
          <cell r="C32">
            <v>400</v>
          </cell>
          <cell r="E32">
            <v>1.5</v>
          </cell>
          <cell r="G32">
            <v>378350</v>
          </cell>
          <cell r="I32">
            <v>5190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 Structure"/>
      <sheetName val="Guide"/>
      <sheetName val="Overview"/>
      <sheetName val="BTSE"/>
      <sheetName val="MW DMC"/>
      <sheetName val="MW Ericsson"/>
      <sheetName val="PS Westindo"/>
      <sheetName val="PS Hariff"/>
      <sheetName val="Pre-Implementation"/>
      <sheetName val="Monthly TRX"/>
      <sheetName val="Problem Class"/>
      <sheetName val="VALIDASI"/>
    </sheetNames>
    <sheetDataSet>
      <sheetData sheetId="0"/>
      <sheetData sheetId="1"/>
      <sheetData sheetId="2" refreshError="1">
        <row r="22">
          <cell r="F22" t="str">
            <v>Quarter</v>
          </cell>
        </row>
        <row r="23">
          <cell r="F23" t="str">
            <v>Q4 01</v>
          </cell>
          <cell r="U23" t="str">
            <v>Yes</v>
          </cell>
        </row>
        <row r="24">
          <cell r="F24" t="str">
            <v>Q4 01</v>
          </cell>
          <cell r="U24" t="str">
            <v>Yes</v>
          </cell>
        </row>
        <row r="25">
          <cell r="F25" t="str">
            <v>Q4 01</v>
          </cell>
          <cell r="U25" t="str">
            <v>Yes</v>
          </cell>
        </row>
        <row r="26">
          <cell r="F26" t="str">
            <v>Q4 01</v>
          </cell>
          <cell r="U26" t="str">
            <v>Yes</v>
          </cell>
        </row>
        <row r="27">
          <cell r="F27" t="str">
            <v>Q4 01</v>
          </cell>
          <cell r="U27" t="str">
            <v>Yes</v>
          </cell>
        </row>
        <row r="28">
          <cell r="F28" t="str">
            <v>Q4 01</v>
          </cell>
          <cell r="U28" t="str">
            <v>No</v>
          </cell>
        </row>
        <row r="29">
          <cell r="F29" t="str">
            <v>Q4 01</v>
          </cell>
          <cell r="U29" t="str">
            <v>Yes</v>
          </cell>
        </row>
        <row r="30">
          <cell r="F30" t="str">
            <v>Q4 01</v>
          </cell>
          <cell r="U30" t="str">
            <v>Yes</v>
          </cell>
        </row>
        <row r="31">
          <cell r="F31" t="str">
            <v>Q4 01</v>
          </cell>
          <cell r="U31" t="str">
            <v>Yes</v>
          </cell>
        </row>
        <row r="32">
          <cell r="F32" t="str">
            <v>Q4 01</v>
          </cell>
          <cell r="U32" t="str">
            <v>Yes</v>
          </cell>
        </row>
        <row r="33">
          <cell r="F33" t="str">
            <v>Q4 01</v>
          </cell>
          <cell r="U33" t="str">
            <v>Yes</v>
          </cell>
        </row>
        <row r="34">
          <cell r="F34" t="str">
            <v>Q4 01</v>
          </cell>
          <cell r="U34" t="str">
            <v>Yes</v>
          </cell>
        </row>
        <row r="35">
          <cell r="F35" t="str">
            <v>Q4 01</v>
          </cell>
          <cell r="U35" t="str">
            <v>Yes</v>
          </cell>
        </row>
        <row r="36">
          <cell r="F36" t="str">
            <v>Q4 01</v>
          </cell>
          <cell r="U36" t="str">
            <v>Yes</v>
          </cell>
        </row>
        <row r="37">
          <cell r="F37" t="str">
            <v>Q4 01</v>
          </cell>
          <cell r="U37" t="str">
            <v>Yes</v>
          </cell>
        </row>
        <row r="38">
          <cell r="F38" t="str">
            <v>Q4 01</v>
          </cell>
          <cell r="U38" t="str">
            <v>Yes</v>
          </cell>
        </row>
        <row r="39">
          <cell r="F39" t="str">
            <v>Q4 01</v>
          </cell>
          <cell r="U39" t="str">
            <v>No</v>
          </cell>
        </row>
        <row r="40">
          <cell r="F40" t="str">
            <v>Q4 01</v>
          </cell>
          <cell r="U40" t="str">
            <v>No</v>
          </cell>
        </row>
        <row r="41">
          <cell r="F41" t="str">
            <v>Q4 01</v>
          </cell>
          <cell r="U41" t="str">
            <v>Yes</v>
          </cell>
        </row>
        <row r="42">
          <cell r="F42" t="str">
            <v>Q4 01</v>
          </cell>
          <cell r="U42" t="str">
            <v>Yes</v>
          </cell>
        </row>
        <row r="43">
          <cell r="U43" t="str">
            <v>Yes</v>
          </cell>
        </row>
        <row r="44">
          <cell r="F44" t="str">
            <v>Q4 01</v>
          </cell>
          <cell r="U44" t="str">
            <v>Yes</v>
          </cell>
        </row>
        <row r="45">
          <cell r="F45" t="str">
            <v>Q4 01</v>
          </cell>
          <cell r="U45" t="str">
            <v>Yes</v>
          </cell>
        </row>
        <row r="46">
          <cell r="F46" t="str">
            <v>Q4 01</v>
          </cell>
          <cell r="U46" t="str">
            <v>No</v>
          </cell>
        </row>
        <row r="47">
          <cell r="F47" t="str">
            <v>Q4 01</v>
          </cell>
          <cell r="U47" t="str">
            <v>Yes</v>
          </cell>
        </row>
        <row r="48">
          <cell r="F48" t="str">
            <v>Q4 01</v>
          </cell>
          <cell r="U48" t="str">
            <v>Yes</v>
          </cell>
        </row>
        <row r="49">
          <cell r="F49" t="str">
            <v>Q4 01</v>
          </cell>
          <cell r="U49" t="str">
            <v>Yes</v>
          </cell>
        </row>
        <row r="50">
          <cell r="F50" t="str">
            <v>Q4 01</v>
          </cell>
          <cell r="U50" t="str">
            <v>Yes</v>
          </cell>
        </row>
        <row r="51">
          <cell r="F51" t="str">
            <v>Q4 01</v>
          </cell>
          <cell r="U51" t="str">
            <v>Yes</v>
          </cell>
        </row>
        <row r="52">
          <cell r="F52" t="str">
            <v>Q4 01</v>
          </cell>
          <cell r="U52" t="str">
            <v>Yes</v>
          </cell>
        </row>
        <row r="53">
          <cell r="F53" t="str">
            <v>Q4 01</v>
          </cell>
          <cell r="U53" t="str">
            <v>Yes</v>
          </cell>
        </row>
        <row r="54">
          <cell r="F54" t="str">
            <v>Q4 01</v>
          </cell>
          <cell r="U54" t="str">
            <v>Yes</v>
          </cell>
        </row>
        <row r="55">
          <cell r="F55" t="str">
            <v>Q4 01</v>
          </cell>
          <cell r="U55" t="str">
            <v>Yes</v>
          </cell>
        </row>
        <row r="56">
          <cell r="F56" t="str">
            <v>Q4 01</v>
          </cell>
          <cell r="U56" t="str">
            <v>Yes</v>
          </cell>
        </row>
        <row r="57">
          <cell r="F57" t="str">
            <v>Q4 01</v>
          </cell>
          <cell r="U57" t="str">
            <v>Yes</v>
          </cell>
        </row>
        <row r="58">
          <cell r="F58" t="str">
            <v>Q4 01</v>
          </cell>
          <cell r="U58" t="str">
            <v>Yes</v>
          </cell>
        </row>
        <row r="59">
          <cell r="F59" t="str">
            <v>Q4 01</v>
          </cell>
          <cell r="U59" t="str">
            <v>Yes</v>
          </cell>
        </row>
        <row r="60">
          <cell r="F60" t="str">
            <v>Q4 01</v>
          </cell>
          <cell r="U60" t="str">
            <v>Yes</v>
          </cell>
        </row>
        <row r="61">
          <cell r="F61" t="str">
            <v>Q4 01</v>
          </cell>
          <cell r="U61" t="str">
            <v>Yes</v>
          </cell>
        </row>
        <row r="62">
          <cell r="F62" t="str">
            <v>Q4 01</v>
          </cell>
          <cell r="U62" t="str">
            <v>No</v>
          </cell>
        </row>
        <row r="63">
          <cell r="F63" t="str">
            <v>Q4 01</v>
          </cell>
          <cell r="U63" t="str">
            <v>Yes</v>
          </cell>
        </row>
        <row r="64">
          <cell r="F64" t="str">
            <v>Q4 01</v>
          </cell>
          <cell r="U64" t="str">
            <v>Yes</v>
          </cell>
        </row>
        <row r="65">
          <cell r="F65" t="str">
            <v>Q4 01</v>
          </cell>
          <cell r="U65" t="str">
            <v>No</v>
          </cell>
        </row>
        <row r="66">
          <cell r="F66" t="str">
            <v>Q4 01</v>
          </cell>
          <cell r="U66" t="str">
            <v>Yes</v>
          </cell>
        </row>
        <row r="67">
          <cell r="F67" t="str">
            <v>Q4 01</v>
          </cell>
          <cell r="U67" t="str">
            <v>Yes</v>
          </cell>
        </row>
        <row r="68">
          <cell r="F68" t="str">
            <v>Q4 01</v>
          </cell>
          <cell r="U68" t="str">
            <v>Yes</v>
          </cell>
        </row>
        <row r="69">
          <cell r="F69" t="str">
            <v>Q4 01</v>
          </cell>
          <cell r="U69" t="str">
            <v>Yes</v>
          </cell>
        </row>
        <row r="70">
          <cell r="F70" t="str">
            <v>Q4 01</v>
          </cell>
          <cell r="U70" t="str">
            <v>No</v>
          </cell>
        </row>
        <row r="71">
          <cell r="F71" t="str">
            <v>Q4 01</v>
          </cell>
          <cell r="U71" t="str">
            <v>Yes</v>
          </cell>
        </row>
        <row r="72">
          <cell r="F72" t="str">
            <v>Q4 01</v>
          </cell>
          <cell r="U72" t="str">
            <v>Yes</v>
          </cell>
        </row>
        <row r="73">
          <cell r="F73" t="str">
            <v>Q4 01</v>
          </cell>
          <cell r="U73" t="str">
            <v>No</v>
          </cell>
        </row>
        <row r="74">
          <cell r="F74" t="str">
            <v>Q4 01</v>
          </cell>
          <cell r="U74" t="str">
            <v>Yes</v>
          </cell>
        </row>
        <row r="75">
          <cell r="F75" t="str">
            <v>Q4 01</v>
          </cell>
          <cell r="U75" t="str">
            <v>Yes</v>
          </cell>
        </row>
        <row r="76">
          <cell r="F76" t="str">
            <v>Q4 01</v>
          </cell>
          <cell r="U76" t="str">
            <v>Yes</v>
          </cell>
        </row>
        <row r="77">
          <cell r="F77" t="str">
            <v>Q4 01</v>
          </cell>
          <cell r="U77" t="str">
            <v>Yes</v>
          </cell>
        </row>
        <row r="78">
          <cell r="F78" t="str">
            <v>Q4 01</v>
          </cell>
          <cell r="U78" t="str">
            <v>No</v>
          </cell>
        </row>
        <row r="79">
          <cell r="F79" t="str">
            <v>Q4 01</v>
          </cell>
          <cell r="U79" t="str">
            <v>Yes</v>
          </cell>
        </row>
        <row r="80">
          <cell r="F80" t="str">
            <v>Q4 01</v>
          </cell>
          <cell r="U80" t="str">
            <v>Yes</v>
          </cell>
        </row>
        <row r="81">
          <cell r="F81" t="str">
            <v>Q4 01</v>
          </cell>
          <cell r="U81" t="str">
            <v>No</v>
          </cell>
        </row>
        <row r="82">
          <cell r="F82" t="str">
            <v>Q4 01</v>
          </cell>
          <cell r="U82" t="str">
            <v>No</v>
          </cell>
        </row>
        <row r="83">
          <cell r="F83" t="str">
            <v>Q4 01</v>
          </cell>
          <cell r="U83" t="str">
            <v>Yes</v>
          </cell>
        </row>
        <row r="84">
          <cell r="F84" t="str">
            <v>Q4 01</v>
          </cell>
          <cell r="U84" t="str">
            <v>No</v>
          </cell>
        </row>
        <row r="85">
          <cell r="F85" t="str">
            <v>Q4 01</v>
          </cell>
          <cell r="U85" t="str">
            <v>No</v>
          </cell>
        </row>
        <row r="86">
          <cell r="F86" t="str">
            <v>Q4 01</v>
          </cell>
          <cell r="U86" t="str">
            <v>No</v>
          </cell>
        </row>
        <row r="87">
          <cell r="F87" t="str">
            <v>Q1 02</v>
          </cell>
          <cell r="U87" t="str">
            <v>Yes</v>
          </cell>
        </row>
        <row r="88">
          <cell r="F88" t="str">
            <v>Q1 02</v>
          </cell>
          <cell r="U88" t="str">
            <v>No</v>
          </cell>
        </row>
        <row r="89">
          <cell r="U89" t="str">
            <v>Yes</v>
          </cell>
        </row>
        <row r="90">
          <cell r="U90" t="str">
            <v>Yes</v>
          </cell>
        </row>
        <row r="91">
          <cell r="U91" t="str">
            <v>Yes</v>
          </cell>
        </row>
        <row r="92">
          <cell r="U92" t="str">
            <v>Yes</v>
          </cell>
        </row>
        <row r="93">
          <cell r="F93" t="str">
            <v>Q4 01</v>
          </cell>
          <cell r="U93" t="str">
            <v>Yes</v>
          </cell>
        </row>
        <row r="94">
          <cell r="F94" t="str">
            <v>Q4 01</v>
          </cell>
          <cell r="U94" t="str">
            <v>Yes</v>
          </cell>
        </row>
        <row r="95">
          <cell r="F95" t="str">
            <v>Q4 01</v>
          </cell>
          <cell r="U95" t="str">
            <v>Yes</v>
          </cell>
        </row>
        <row r="96">
          <cell r="F96" t="str">
            <v>Q4 01</v>
          </cell>
          <cell r="U96" t="str">
            <v>Yes</v>
          </cell>
        </row>
        <row r="97">
          <cell r="F97" t="str">
            <v>Q4 01</v>
          </cell>
          <cell r="U97" t="str">
            <v>Yes</v>
          </cell>
        </row>
        <row r="98">
          <cell r="F98" t="str">
            <v>Q4 01</v>
          </cell>
          <cell r="U98" t="str">
            <v>Yes</v>
          </cell>
        </row>
        <row r="99">
          <cell r="F99" t="str">
            <v>Q4 01</v>
          </cell>
          <cell r="U99" t="str">
            <v>Yes</v>
          </cell>
        </row>
        <row r="100">
          <cell r="F100" t="str">
            <v>Q4 01</v>
          </cell>
          <cell r="U100" t="str">
            <v>Yes</v>
          </cell>
        </row>
        <row r="101">
          <cell r="F101" t="str">
            <v>Q4 01</v>
          </cell>
          <cell r="U101" t="str">
            <v>Yes</v>
          </cell>
        </row>
        <row r="102">
          <cell r="F102" t="str">
            <v>Q4 01</v>
          </cell>
          <cell r="U102" t="str">
            <v>Yes</v>
          </cell>
        </row>
        <row r="103">
          <cell r="F103" t="str">
            <v>Q4 01</v>
          </cell>
          <cell r="U103" t="str">
            <v>No</v>
          </cell>
        </row>
        <row r="104">
          <cell r="U104" t="str">
            <v>No</v>
          </cell>
        </row>
        <row r="105">
          <cell r="U105" t="str">
            <v>No</v>
          </cell>
        </row>
        <row r="106">
          <cell r="F106" t="str">
            <v>Q4 01</v>
          </cell>
          <cell r="U106" t="str">
            <v>No</v>
          </cell>
        </row>
        <row r="107">
          <cell r="F107" t="str">
            <v>Q4 01</v>
          </cell>
          <cell r="U107" t="str">
            <v>No</v>
          </cell>
        </row>
        <row r="108">
          <cell r="F108" t="str">
            <v>Q4 01</v>
          </cell>
          <cell r="U108" t="str">
            <v>Yes</v>
          </cell>
        </row>
        <row r="109">
          <cell r="F109" t="str">
            <v>Q4 01</v>
          </cell>
          <cell r="U109" t="str">
            <v>Yes</v>
          </cell>
        </row>
        <row r="110">
          <cell r="U110" t="str">
            <v>No</v>
          </cell>
        </row>
        <row r="111">
          <cell r="F111" t="str">
            <v>Q4 01</v>
          </cell>
          <cell r="U111" t="str">
            <v>Yes</v>
          </cell>
        </row>
        <row r="112">
          <cell r="F112" t="str">
            <v>Q4 01</v>
          </cell>
          <cell r="U112" t="str">
            <v>No</v>
          </cell>
        </row>
        <row r="113">
          <cell r="U113" t="str">
            <v>No</v>
          </cell>
        </row>
        <row r="114">
          <cell r="F114" t="str">
            <v>Q4 01</v>
          </cell>
          <cell r="U114" t="str">
            <v>No</v>
          </cell>
        </row>
        <row r="115">
          <cell r="F115" t="str">
            <v>Q4 01</v>
          </cell>
          <cell r="U115" t="str">
            <v>No</v>
          </cell>
        </row>
        <row r="116">
          <cell r="F116" t="str">
            <v>Q4 01</v>
          </cell>
          <cell r="U116" t="str">
            <v>Yes</v>
          </cell>
        </row>
        <row r="117">
          <cell r="F117" t="str">
            <v>Q4 01</v>
          </cell>
          <cell r="U117" t="str">
            <v>Yes</v>
          </cell>
        </row>
        <row r="118">
          <cell r="F118" t="str">
            <v>Q4 01</v>
          </cell>
          <cell r="U118" t="str">
            <v>Yes</v>
          </cell>
        </row>
        <row r="119">
          <cell r="F119" t="str">
            <v>Q4 01</v>
          </cell>
          <cell r="U119" t="str">
            <v>Yes</v>
          </cell>
        </row>
        <row r="120">
          <cell r="F120" t="str">
            <v>Q4 01</v>
          </cell>
          <cell r="U120" t="str">
            <v>Yes</v>
          </cell>
        </row>
        <row r="121">
          <cell r="F121" t="str">
            <v>Q4 01</v>
          </cell>
          <cell r="U121" t="str">
            <v>Yes</v>
          </cell>
        </row>
        <row r="122">
          <cell r="F122" t="str">
            <v>Q4 01</v>
          </cell>
          <cell r="U122" t="str">
            <v>Yes</v>
          </cell>
        </row>
        <row r="123">
          <cell r="F123" t="str">
            <v>Q4 01</v>
          </cell>
          <cell r="U123" t="str">
            <v>Yes</v>
          </cell>
        </row>
        <row r="124">
          <cell r="F124" t="str">
            <v>Q4 01</v>
          </cell>
          <cell r="U124" t="str">
            <v>No</v>
          </cell>
        </row>
        <row r="125">
          <cell r="F125" t="str">
            <v>Q4 01</v>
          </cell>
          <cell r="U125" t="str">
            <v>No</v>
          </cell>
        </row>
        <row r="126">
          <cell r="F126" t="str">
            <v>Q4 01</v>
          </cell>
          <cell r="U126" t="str">
            <v>Yes</v>
          </cell>
        </row>
        <row r="127">
          <cell r="F127" t="str">
            <v>Q4 01</v>
          </cell>
          <cell r="U127" t="str">
            <v>No</v>
          </cell>
        </row>
        <row r="128">
          <cell r="U128" t="str">
            <v>Yes</v>
          </cell>
        </row>
        <row r="129">
          <cell r="U129" t="str">
            <v>Yes</v>
          </cell>
        </row>
        <row r="130">
          <cell r="U130" t="str">
            <v>Yes</v>
          </cell>
        </row>
        <row r="131">
          <cell r="U131" t="str">
            <v>Yes</v>
          </cell>
        </row>
        <row r="132">
          <cell r="U132" t="str">
            <v>Yes</v>
          </cell>
        </row>
        <row r="133">
          <cell r="U133" t="str">
            <v>Yes</v>
          </cell>
        </row>
        <row r="134">
          <cell r="F134" t="str">
            <v>Q4 01</v>
          </cell>
          <cell r="U134" t="str">
            <v>No</v>
          </cell>
        </row>
        <row r="135">
          <cell r="F135" t="str">
            <v>Q4 01</v>
          </cell>
          <cell r="U135" t="str">
            <v>No</v>
          </cell>
        </row>
        <row r="136">
          <cell r="F136" t="str">
            <v>Q4 01</v>
          </cell>
          <cell r="U136" t="str">
            <v>No</v>
          </cell>
        </row>
        <row r="137">
          <cell r="F137" t="str">
            <v>Q4 01</v>
          </cell>
          <cell r="U137" t="str">
            <v>No</v>
          </cell>
        </row>
        <row r="138">
          <cell r="F138" t="str">
            <v>Q4 01</v>
          </cell>
          <cell r="U138" t="str">
            <v>Yes</v>
          </cell>
        </row>
        <row r="139">
          <cell r="F139" t="str">
            <v>Q4 01</v>
          </cell>
          <cell r="U139" t="str">
            <v>No</v>
          </cell>
        </row>
        <row r="140">
          <cell r="F140" t="str">
            <v>Q4 01</v>
          </cell>
          <cell r="U140" t="str">
            <v>Yes</v>
          </cell>
        </row>
        <row r="141">
          <cell r="F141" t="str">
            <v>Q4 01</v>
          </cell>
          <cell r="U141" t="str">
            <v>Yes</v>
          </cell>
        </row>
        <row r="142">
          <cell r="F142" t="str">
            <v>Q1 02</v>
          </cell>
          <cell r="U142" t="str">
            <v>Yes</v>
          </cell>
        </row>
        <row r="143">
          <cell r="F143" t="str">
            <v>Q4 01</v>
          </cell>
          <cell r="U143" t="str">
            <v>Yes</v>
          </cell>
        </row>
        <row r="144">
          <cell r="F144" t="str">
            <v>Q4 01</v>
          </cell>
          <cell r="U144" t="str">
            <v>Yes</v>
          </cell>
        </row>
        <row r="145">
          <cell r="F145" t="str">
            <v>Q4 01</v>
          </cell>
          <cell r="U145" t="str">
            <v>Yes</v>
          </cell>
        </row>
        <row r="146">
          <cell r="F146" t="str">
            <v>Q4 01</v>
          </cell>
          <cell r="U146" t="str">
            <v>Yes</v>
          </cell>
        </row>
        <row r="147">
          <cell r="F147" t="str">
            <v>Q1 02</v>
          </cell>
          <cell r="U147" t="str">
            <v>Yes</v>
          </cell>
        </row>
        <row r="148">
          <cell r="F148" t="str">
            <v>Q4 01</v>
          </cell>
          <cell r="U148" t="str">
            <v>Yes</v>
          </cell>
        </row>
        <row r="149">
          <cell r="F149" t="str">
            <v>Q4 01</v>
          </cell>
          <cell r="U149" t="str">
            <v>Yes</v>
          </cell>
        </row>
        <row r="150">
          <cell r="F150" t="str">
            <v>Q4 01</v>
          </cell>
          <cell r="U150" t="str">
            <v>No</v>
          </cell>
        </row>
        <row r="151">
          <cell r="F151" t="str">
            <v>Q4 01</v>
          </cell>
          <cell r="U151" t="str">
            <v>No</v>
          </cell>
        </row>
        <row r="152">
          <cell r="F152" t="str">
            <v>Q4 01</v>
          </cell>
          <cell r="U152" t="str">
            <v>Yes</v>
          </cell>
        </row>
        <row r="153">
          <cell r="F153" t="str">
            <v>Q1 02</v>
          </cell>
          <cell r="U153" t="str">
            <v>No</v>
          </cell>
        </row>
        <row r="154">
          <cell r="F154" t="str">
            <v>Q4 01</v>
          </cell>
          <cell r="U154" t="str">
            <v>No</v>
          </cell>
        </row>
        <row r="155">
          <cell r="F155" t="str">
            <v>Q4 01</v>
          </cell>
          <cell r="U155" t="str">
            <v>No</v>
          </cell>
        </row>
        <row r="156">
          <cell r="F156" t="str">
            <v>Q4 01</v>
          </cell>
          <cell r="U156" t="str">
            <v>No</v>
          </cell>
        </row>
        <row r="157">
          <cell r="F157" t="str">
            <v>Q4 01</v>
          </cell>
          <cell r="U157" t="str">
            <v>Yes</v>
          </cell>
        </row>
        <row r="158">
          <cell r="F158" t="str">
            <v>Q4 01</v>
          </cell>
          <cell r="U158" t="str">
            <v>Yes</v>
          </cell>
        </row>
        <row r="159">
          <cell r="F159" t="str">
            <v>Q4 01</v>
          </cell>
          <cell r="U159" t="str">
            <v>Yes</v>
          </cell>
        </row>
        <row r="160">
          <cell r="F160" t="str">
            <v>Q4 01</v>
          </cell>
          <cell r="U160" t="str">
            <v>Yes</v>
          </cell>
        </row>
        <row r="161">
          <cell r="F161" t="str">
            <v>Q4 01</v>
          </cell>
          <cell r="U161" t="str">
            <v>No</v>
          </cell>
        </row>
        <row r="162">
          <cell r="F162" t="str">
            <v>Q4 01</v>
          </cell>
          <cell r="U162" t="str">
            <v>No</v>
          </cell>
        </row>
        <row r="163">
          <cell r="F163" t="str">
            <v>Q1 02</v>
          </cell>
          <cell r="U163" t="str">
            <v>No</v>
          </cell>
        </row>
        <row r="164">
          <cell r="F164" t="str">
            <v>Q4 01</v>
          </cell>
          <cell r="U164" t="str">
            <v>No</v>
          </cell>
        </row>
        <row r="165">
          <cell r="F165" t="str">
            <v>Q4 01</v>
          </cell>
          <cell r="U165" t="str">
            <v>No</v>
          </cell>
        </row>
        <row r="166">
          <cell r="F166" t="str">
            <v>Q4 01</v>
          </cell>
          <cell r="U166" t="str">
            <v>No</v>
          </cell>
        </row>
        <row r="167">
          <cell r="F167" t="str">
            <v>Q4 01</v>
          </cell>
          <cell r="U167" t="str">
            <v>Yes</v>
          </cell>
        </row>
        <row r="168">
          <cell r="F168" t="str">
            <v>Q4 01</v>
          </cell>
          <cell r="U168" t="str">
            <v>Yes</v>
          </cell>
        </row>
        <row r="169">
          <cell r="F169" t="str">
            <v>Q4 01</v>
          </cell>
          <cell r="U169" t="str">
            <v>Yes</v>
          </cell>
        </row>
        <row r="170">
          <cell r="F170" t="str">
            <v>Q4 01</v>
          </cell>
          <cell r="U170" t="str">
            <v>Yes</v>
          </cell>
        </row>
        <row r="171">
          <cell r="F171" t="str">
            <v>Q4 01</v>
          </cell>
          <cell r="U171" t="str">
            <v>No</v>
          </cell>
        </row>
        <row r="172">
          <cell r="F172" t="str">
            <v>Q4 01</v>
          </cell>
          <cell r="U172" t="str">
            <v>No</v>
          </cell>
        </row>
        <row r="173">
          <cell r="F173" t="str">
            <v>Q4 01</v>
          </cell>
          <cell r="U173" t="str">
            <v>No</v>
          </cell>
        </row>
        <row r="174">
          <cell r="F174" t="str">
            <v>Q4 01</v>
          </cell>
          <cell r="U174" t="str">
            <v>Yes</v>
          </cell>
        </row>
        <row r="175">
          <cell r="F175" t="str">
            <v>Q4 01</v>
          </cell>
          <cell r="U175" t="str">
            <v>No</v>
          </cell>
        </row>
        <row r="176">
          <cell r="U176" t="str">
            <v>Yes</v>
          </cell>
        </row>
        <row r="177">
          <cell r="U177" t="str">
            <v>Yes</v>
          </cell>
        </row>
        <row r="178">
          <cell r="F178" t="str">
            <v>Q4 01</v>
          </cell>
          <cell r="U178" t="str">
            <v>No</v>
          </cell>
        </row>
        <row r="179">
          <cell r="U179" t="str">
            <v>Yes</v>
          </cell>
        </row>
        <row r="180">
          <cell r="U180" t="str">
            <v>Yes</v>
          </cell>
        </row>
        <row r="181">
          <cell r="U181" t="str">
            <v>Yes</v>
          </cell>
        </row>
        <row r="182">
          <cell r="U182" t="str">
            <v>Yes</v>
          </cell>
        </row>
        <row r="183">
          <cell r="F183" t="str">
            <v>Q1 02</v>
          </cell>
          <cell r="U183" t="str">
            <v>Yes</v>
          </cell>
        </row>
        <row r="184">
          <cell r="U184" t="str">
            <v>Yes</v>
          </cell>
        </row>
        <row r="185">
          <cell r="F185" t="str">
            <v>Q1 02</v>
          </cell>
          <cell r="U185" t="str">
            <v>No</v>
          </cell>
        </row>
        <row r="186">
          <cell r="F186" t="str">
            <v>Q4 01</v>
          </cell>
          <cell r="U186" t="str">
            <v>Yes</v>
          </cell>
        </row>
        <row r="187">
          <cell r="F187" t="str">
            <v>Q4 01</v>
          </cell>
          <cell r="U187" t="str">
            <v>No</v>
          </cell>
        </row>
        <row r="188">
          <cell r="F188" t="str">
            <v>Q4 01</v>
          </cell>
          <cell r="U188" t="str">
            <v>No</v>
          </cell>
        </row>
        <row r="189">
          <cell r="F189" t="str">
            <v>Q4 01</v>
          </cell>
          <cell r="U189" t="str">
            <v>No</v>
          </cell>
        </row>
        <row r="190">
          <cell r="F190" t="str">
            <v>Q1 02</v>
          </cell>
          <cell r="U190" t="str">
            <v>No</v>
          </cell>
        </row>
        <row r="191">
          <cell r="F191" t="str">
            <v>Q1 02</v>
          </cell>
          <cell r="U191" t="str">
            <v>No</v>
          </cell>
        </row>
        <row r="192">
          <cell r="F192" t="str">
            <v>Q1 02</v>
          </cell>
          <cell r="U192" t="str">
            <v>No</v>
          </cell>
        </row>
        <row r="193">
          <cell r="F193" t="str">
            <v>Q1 02</v>
          </cell>
          <cell r="U193" t="str">
            <v>No</v>
          </cell>
        </row>
        <row r="194">
          <cell r="U194" t="str">
            <v>No</v>
          </cell>
        </row>
        <row r="195">
          <cell r="F195" t="str">
            <v>Q1 02</v>
          </cell>
          <cell r="U195" t="str">
            <v>No</v>
          </cell>
        </row>
        <row r="196">
          <cell r="F196" t="str">
            <v>Q1 02</v>
          </cell>
          <cell r="U196" t="str">
            <v>No</v>
          </cell>
        </row>
        <row r="197">
          <cell r="F197" t="str">
            <v>Q1 02</v>
          </cell>
          <cell r="U197" t="str">
            <v>No</v>
          </cell>
        </row>
        <row r="198">
          <cell r="F198" t="str">
            <v>Q4 01</v>
          </cell>
          <cell r="U198" t="str">
            <v>Yes</v>
          </cell>
        </row>
        <row r="199">
          <cell r="F199" t="str">
            <v>Q1 02</v>
          </cell>
          <cell r="U199" t="str">
            <v>No</v>
          </cell>
        </row>
        <row r="200">
          <cell r="F200" t="str">
            <v>Q1 02</v>
          </cell>
          <cell r="U200" t="str">
            <v>No</v>
          </cell>
        </row>
        <row r="201">
          <cell r="F201" t="str">
            <v>Q4 01</v>
          </cell>
          <cell r="U201" t="str">
            <v>Yes</v>
          </cell>
        </row>
        <row r="202">
          <cell r="F202" t="str">
            <v>Q4 01</v>
          </cell>
          <cell r="U202" t="str">
            <v>Yes</v>
          </cell>
        </row>
        <row r="203">
          <cell r="F203" t="str">
            <v>Q1 02</v>
          </cell>
          <cell r="U203" t="str">
            <v>No</v>
          </cell>
        </row>
        <row r="204">
          <cell r="F204" t="str">
            <v>Q4 01</v>
          </cell>
          <cell r="U204" t="str">
            <v>Yes</v>
          </cell>
        </row>
        <row r="205">
          <cell r="F205" t="str">
            <v>Q4 01</v>
          </cell>
          <cell r="U205" t="str">
            <v>Yes</v>
          </cell>
        </row>
        <row r="206">
          <cell r="F206" t="str">
            <v>Q4 01</v>
          </cell>
          <cell r="U206" t="str">
            <v>No</v>
          </cell>
        </row>
        <row r="207">
          <cell r="F207" t="str">
            <v>Q4 01</v>
          </cell>
          <cell r="U207" t="str">
            <v>Yes</v>
          </cell>
        </row>
        <row r="208">
          <cell r="F208" t="str">
            <v>Q4 01</v>
          </cell>
          <cell r="U208" t="str">
            <v>No</v>
          </cell>
        </row>
        <row r="209">
          <cell r="F209" t="str">
            <v>Q1 02</v>
          </cell>
          <cell r="U209" t="str">
            <v>Yes</v>
          </cell>
        </row>
        <row r="210">
          <cell r="F210" t="str">
            <v>Q1 02</v>
          </cell>
          <cell r="U210" t="str">
            <v>Yes</v>
          </cell>
        </row>
        <row r="211">
          <cell r="F211" t="str">
            <v>Q4 01</v>
          </cell>
          <cell r="U211" t="str">
            <v>No</v>
          </cell>
        </row>
        <row r="212">
          <cell r="F212" t="str">
            <v>Q1 02</v>
          </cell>
          <cell r="U212" t="str">
            <v>No</v>
          </cell>
        </row>
        <row r="213">
          <cell r="F213" t="str">
            <v>Q1 02</v>
          </cell>
          <cell r="U213" t="str">
            <v>No</v>
          </cell>
        </row>
        <row r="214">
          <cell r="F214" t="str">
            <v>Q1 02</v>
          </cell>
          <cell r="U214" t="str">
            <v>No</v>
          </cell>
        </row>
        <row r="215">
          <cell r="F215" t="str">
            <v>Q4 01</v>
          </cell>
          <cell r="U215" t="str">
            <v>Yes</v>
          </cell>
        </row>
        <row r="216">
          <cell r="F216" t="str">
            <v>Q1 02</v>
          </cell>
          <cell r="U216" t="str">
            <v>No</v>
          </cell>
        </row>
        <row r="217">
          <cell r="F217" t="str">
            <v>Q1 02</v>
          </cell>
          <cell r="U217" t="str">
            <v>No</v>
          </cell>
        </row>
        <row r="218">
          <cell r="F218" t="str">
            <v>Q1 02</v>
          </cell>
          <cell r="U218" t="str">
            <v>No</v>
          </cell>
        </row>
        <row r="219">
          <cell r="F219" t="str">
            <v>Q1 02</v>
          </cell>
          <cell r="U219" t="str">
            <v>No</v>
          </cell>
        </row>
        <row r="220">
          <cell r="F220" t="str">
            <v>Q1 02</v>
          </cell>
          <cell r="U220" t="str">
            <v>No</v>
          </cell>
        </row>
        <row r="221">
          <cell r="F221" t="str">
            <v>Q4 01</v>
          </cell>
          <cell r="U221" t="str">
            <v>No</v>
          </cell>
        </row>
        <row r="222">
          <cell r="F222" t="str">
            <v>Q1 02</v>
          </cell>
          <cell r="U222" t="str">
            <v>No</v>
          </cell>
        </row>
        <row r="223">
          <cell r="F223" t="str">
            <v>Q4 01</v>
          </cell>
          <cell r="U223" t="str">
            <v>No</v>
          </cell>
        </row>
        <row r="224">
          <cell r="F224" t="str">
            <v>Q4 01</v>
          </cell>
          <cell r="U224" t="str">
            <v>Yes</v>
          </cell>
        </row>
        <row r="225">
          <cell r="F225" t="str">
            <v>Q4 01</v>
          </cell>
          <cell r="U225" t="str">
            <v>Yes</v>
          </cell>
        </row>
        <row r="226">
          <cell r="F226" t="str">
            <v>Q1 02</v>
          </cell>
          <cell r="U226" t="str">
            <v>No</v>
          </cell>
        </row>
        <row r="227">
          <cell r="F227" t="str">
            <v>Q4 01</v>
          </cell>
          <cell r="U227" t="str">
            <v>No</v>
          </cell>
        </row>
        <row r="228">
          <cell r="F228" t="str">
            <v>Q4 01</v>
          </cell>
          <cell r="U228" t="str">
            <v>No</v>
          </cell>
        </row>
        <row r="229">
          <cell r="F229" t="str">
            <v>Q4 01</v>
          </cell>
          <cell r="U229" t="str">
            <v>No</v>
          </cell>
        </row>
        <row r="230">
          <cell r="U230" t="str">
            <v>No</v>
          </cell>
        </row>
        <row r="231">
          <cell r="U231" t="str">
            <v>No</v>
          </cell>
        </row>
        <row r="232">
          <cell r="F232" t="str">
            <v>Q4 01</v>
          </cell>
          <cell r="U232" t="str">
            <v>No</v>
          </cell>
        </row>
        <row r="233">
          <cell r="F233" t="str">
            <v>Q4 01</v>
          </cell>
          <cell r="U233" t="str">
            <v>No</v>
          </cell>
        </row>
        <row r="234">
          <cell r="F234" t="str">
            <v>Q4 01</v>
          </cell>
          <cell r="U234" t="str">
            <v>Yes</v>
          </cell>
        </row>
        <row r="235">
          <cell r="F235" t="str">
            <v>Q4 01</v>
          </cell>
          <cell r="U235" t="str">
            <v>No</v>
          </cell>
        </row>
        <row r="236">
          <cell r="F236" t="str">
            <v>Q4 01</v>
          </cell>
          <cell r="U236" t="str">
            <v>No</v>
          </cell>
        </row>
        <row r="237">
          <cell r="F237" t="str">
            <v>Q4 01</v>
          </cell>
          <cell r="U237" t="str">
            <v>No</v>
          </cell>
        </row>
        <row r="238">
          <cell r="F238" t="str">
            <v>Q4 01</v>
          </cell>
          <cell r="U238" t="str">
            <v>No</v>
          </cell>
        </row>
        <row r="239">
          <cell r="F239" t="str">
            <v>Q1 02</v>
          </cell>
          <cell r="U239" t="str">
            <v>No</v>
          </cell>
        </row>
        <row r="240">
          <cell r="F240" t="str">
            <v>Q1 02</v>
          </cell>
          <cell r="U240" t="str">
            <v>No</v>
          </cell>
        </row>
        <row r="241">
          <cell r="U241" t="str">
            <v>No</v>
          </cell>
        </row>
        <row r="242">
          <cell r="F242" t="str">
            <v>Q1 02</v>
          </cell>
          <cell r="U242" t="str">
            <v>No</v>
          </cell>
        </row>
        <row r="243">
          <cell r="U243" t="str">
            <v>No</v>
          </cell>
        </row>
        <row r="244">
          <cell r="F244" t="str">
            <v>Q1 02</v>
          </cell>
          <cell r="U244" t="str">
            <v>No</v>
          </cell>
        </row>
        <row r="245">
          <cell r="F245" t="str">
            <v>Q4 01</v>
          </cell>
          <cell r="U245" t="str">
            <v>No</v>
          </cell>
        </row>
        <row r="246">
          <cell r="F246" t="str">
            <v>Q1 02</v>
          </cell>
          <cell r="U246" t="str">
            <v>No</v>
          </cell>
        </row>
        <row r="247">
          <cell r="U247" t="str">
            <v>No</v>
          </cell>
        </row>
        <row r="248">
          <cell r="F248" t="str">
            <v>Q4 01</v>
          </cell>
          <cell r="U248" t="str">
            <v>Yes</v>
          </cell>
        </row>
        <row r="249">
          <cell r="F249" t="str">
            <v>Q4 01</v>
          </cell>
          <cell r="U249" t="str">
            <v>No</v>
          </cell>
        </row>
        <row r="250">
          <cell r="F250" t="str">
            <v>Q1 02</v>
          </cell>
          <cell r="U250" t="str">
            <v>Yes</v>
          </cell>
        </row>
        <row r="251">
          <cell r="F251" t="str">
            <v>Q4 01</v>
          </cell>
          <cell r="U251" t="str">
            <v>No</v>
          </cell>
        </row>
        <row r="252">
          <cell r="F252" t="str">
            <v>Q4 01</v>
          </cell>
          <cell r="U252" t="str">
            <v>Yes</v>
          </cell>
        </row>
        <row r="253">
          <cell r="F253" t="str">
            <v>Q4 01</v>
          </cell>
          <cell r="U253" t="str">
            <v>Yes</v>
          </cell>
        </row>
        <row r="254">
          <cell r="F254" t="str">
            <v>Q4 01</v>
          </cell>
          <cell r="U254" t="str">
            <v>Yes</v>
          </cell>
        </row>
        <row r="255">
          <cell r="F255" t="str">
            <v>Q1 02</v>
          </cell>
          <cell r="U255" t="str">
            <v>Yes</v>
          </cell>
        </row>
        <row r="256">
          <cell r="F256" t="str">
            <v>Q1 02</v>
          </cell>
          <cell r="U256" t="str">
            <v>Yes</v>
          </cell>
        </row>
        <row r="257">
          <cell r="F257" t="str">
            <v>Q1 02</v>
          </cell>
          <cell r="U257" t="str">
            <v>Yes</v>
          </cell>
        </row>
        <row r="258">
          <cell r="F258" t="str">
            <v>Q1 02</v>
          </cell>
          <cell r="U258" t="str">
            <v>Yes</v>
          </cell>
        </row>
        <row r="259">
          <cell r="F259" t="str">
            <v>Q1 02</v>
          </cell>
          <cell r="U259" t="str">
            <v>Yes</v>
          </cell>
        </row>
        <row r="260">
          <cell r="F260" t="str">
            <v>Q1 02</v>
          </cell>
          <cell r="U260" t="str">
            <v>Yes</v>
          </cell>
        </row>
        <row r="261">
          <cell r="F261" t="str">
            <v>Q1 02</v>
          </cell>
          <cell r="U261" t="str">
            <v>Yes</v>
          </cell>
        </row>
        <row r="262">
          <cell r="F262" t="str">
            <v>Q1 02</v>
          </cell>
          <cell r="U262" t="str">
            <v>Yes</v>
          </cell>
        </row>
        <row r="263">
          <cell r="F263" t="str">
            <v>Q1 02</v>
          </cell>
          <cell r="U263" t="str">
            <v>Yes</v>
          </cell>
        </row>
        <row r="264">
          <cell r="F264" t="str">
            <v>Q1 02</v>
          </cell>
          <cell r="U264" t="str">
            <v>Yes</v>
          </cell>
        </row>
        <row r="265">
          <cell r="F265" t="str">
            <v>Q1 02</v>
          </cell>
          <cell r="U265" t="str">
            <v>Yes</v>
          </cell>
        </row>
        <row r="266">
          <cell r="F266" t="str">
            <v>Q1 02</v>
          </cell>
          <cell r="U266" t="str">
            <v>Yes</v>
          </cell>
        </row>
        <row r="267">
          <cell r="F267" t="str">
            <v>Q4 01</v>
          </cell>
          <cell r="U267" t="str">
            <v>Yes</v>
          </cell>
        </row>
        <row r="268">
          <cell r="F268" t="str">
            <v>Q1 02</v>
          </cell>
          <cell r="U268" t="str">
            <v>Yes</v>
          </cell>
        </row>
        <row r="269">
          <cell r="F269" t="str">
            <v>Q1 02</v>
          </cell>
          <cell r="U269" t="str">
            <v>Yes</v>
          </cell>
        </row>
        <row r="270">
          <cell r="F270" t="str">
            <v>Q1 02</v>
          </cell>
          <cell r="U270" t="str">
            <v>No</v>
          </cell>
        </row>
        <row r="271">
          <cell r="F271" t="str">
            <v>Q1 02</v>
          </cell>
          <cell r="U271" t="str">
            <v>No</v>
          </cell>
        </row>
        <row r="272">
          <cell r="F272" t="str">
            <v>Q1 02</v>
          </cell>
          <cell r="U272" t="str">
            <v>No</v>
          </cell>
        </row>
        <row r="273">
          <cell r="F273" t="str">
            <v>Q1 02</v>
          </cell>
          <cell r="U273" t="str">
            <v>No</v>
          </cell>
        </row>
        <row r="274">
          <cell r="F274" t="str">
            <v>Q1 02</v>
          </cell>
          <cell r="U274" t="str">
            <v>No</v>
          </cell>
        </row>
        <row r="275">
          <cell r="F275" t="str">
            <v>Q4 01</v>
          </cell>
          <cell r="U275" t="str">
            <v>Yes</v>
          </cell>
        </row>
        <row r="276">
          <cell r="F276" t="str">
            <v>Q1 02</v>
          </cell>
          <cell r="U276" t="str">
            <v>Yes</v>
          </cell>
        </row>
        <row r="277">
          <cell r="F277" t="str">
            <v>Q1 02</v>
          </cell>
          <cell r="U277" t="str">
            <v>Yes</v>
          </cell>
        </row>
        <row r="278">
          <cell r="F278" t="str">
            <v>Q1 02</v>
          </cell>
          <cell r="U278" t="str">
            <v>Yes</v>
          </cell>
        </row>
        <row r="279">
          <cell r="F279" t="str">
            <v>Q1 02</v>
          </cell>
          <cell r="U279" t="str">
            <v>Yes</v>
          </cell>
        </row>
        <row r="280">
          <cell r="F280" t="str">
            <v>Q4 01</v>
          </cell>
          <cell r="U280" t="str">
            <v>Yes</v>
          </cell>
        </row>
        <row r="281">
          <cell r="F281" t="str">
            <v>Q4 01</v>
          </cell>
          <cell r="U281" t="str">
            <v>Yes</v>
          </cell>
        </row>
        <row r="282">
          <cell r="F282" t="str">
            <v>Q1 02</v>
          </cell>
          <cell r="U282" t="str">
            <v>No</v>
          </cell>
        </row>
        <row r="283">
          <cell r="U283" t="str">
            <v>Yes</v>
          </cell>
        </row>
        <row r="284">
          <cell r="U284" t="str">
            <v>Yes</v>
          </cell>
        </row>
        <row r="285">
          <cell r="U285" t="str">
            <v>Yes</v>
          </cell>
        </row>
        <row r="286">
          <cell r="U286" t="str">
            <v>Yes</v>
          </cell>
        </row>
        <row r="287">
          <cell r="F287" t="str">
            <v>Q1 02</v>
          </cell>
          <cell r="U287" t="str">
            <v>No</v>
          </cell>
        </row>
        <row r="288">
          <cell r="F288" t="str">
            <v>Q4 01</v>
          </cell>
          <cell r="U288" t="str">
            <v>No</v>
          </cell>
        </row>
        <row r="289">
          <cell r="F289" t="str">
            <v>Q4 01</v>
          </cell>
          <cell r="U289" t="str">
            <v>No</v>
          </cell>
        </row>
        <row r="290">
          <cell r="F290" t="str">
            <v>Q1 02</v>
          </cell>
          <cell r="U290" t="str">
            <v>No</v>
          </cell>
        </row>
        <row r="291">
          <cell r="F291" t="str">
            <v>Q1 02</v>
          </cell>
          <cell r="U291" t="str">
            <v>No</v>
          </cell>
        </row>
        <row r="292">
          <cell r="F292" t="str">
            <v>Q1 02</v>
          </cell>
          <cell r="U292" t="str">
            <v>No</v>
          </cell>
        </row>
        <row r="293">
          <cell r="F293" t="str">
            <v>Q1 02</v>
          </cell>
          <cell r="U293" t="str">
            <v>No</v>
          </cell>
        </row>
        <row r="294">
          <cell r="F294" t="str">
            <v>Q1 02</v>
          </cell>
          <cell r="U294" t="str">
            <v>No</v>
          </cell>
        </row>
        <row r="295">
          <cell r="F295" t="str">
            <v>Q1 02</v>
          </cell>
          <cell r="U295" t="str">
            <v>No</v>
          </cell>
        </row>
        <row r="296">
          <cell r="F296" t="str">
            <v>Q4 01</v>
          </cell>
          <cell r="U296" t="str">
            <v>No</v>
          </cell>
        </row>
        <row r="297">
          <cell r="F297" t="str">
            <v>Q4 01</v>
          </cell>
          <cell r="U297" t="str">
            <v>No</v>
          </cell>
        </row>
        <row r="298">
          <cell r="F298" t="str">
            <v>Q1 02</v>
          </cell>
          <cell r="U298" t="str">
            <v>No</v>
          </cell>
        </row>
        <row r="299">
          <cell r="F299" t="str">
            <v>Q1 02</v>
          </cell>
          <cell r="U299" t="str">
            <v>No</v>
          </cell>
        </row>
        <row r="300">
          <cell r="F300" t="str">
            <v>Q1 02</v>
          </cell>
          <cell r="U300" t="str">
            <v>No</v>
          </cell>
        </row>
        <row r="301">
          <cell r="F301" t="str">
            <v>Q1 02</v>
          </cell>
          <cell r="U301" t="str">
            <v>Yes</v>
          </cell>
        </row>
        <row r="302">
          <cell r="F302" t="str">
            <v>Q1 02</v>
          </cell>
          <cell r="U302" t="str">
            <v>Yes</v>
          </cell>
        </row>
        <row r="303">
          <cell r="F303" t="str">
            <v>Q4 01</v>
          </cell>
          <cell r="U303" t="str">
            <v>Yes</v>
          </cell>
        </row>
        <row r="304">
          <cell r="F304" t="str">
            <v>Q4 01</v>
          </cell>
          <cell r="U304" t="str">
            <v>Yes</v>
          </cell>
        </row>
        <row r="305">
          <cell r="F305" t="str">
            <v>Q4 01</v>
          </cell>
          <cell r="U305" t="str">
            <v>No</v>
          </cell>
        </row>
        <row r="306">
          <cell r="F306" t="str">
            <v>Q4 01</v>
          </cell>
          <cell r="U306" t="str">
            <v>No</v>
          </cell>
        </row>
        <row r="307">
          <cell r="F307" t="str">
            <v>Q4 01</v>
          </cell>
          <cell r="U307" t="str">
            <v>No</v>
          </cell>
        </row>
        <row r="308">
          <cell r="F308" t="str">
            <v>Q4 01</v>
          </cell>
          <cell r="U308" t="str">
            <v>No</v>
          </cell>
        </row>
        <row r="309">
          <cell r="F309" t="str">
            <v>Q1 02</v>
          </cell>
          <cell r="U309" t="str">
            <v>Yes</v>
          </cell>
        </row>
        <row r="310">
          <cell r="U310" t="str">
            <v>No</v>
          </cell>
        </row>
        <row r="311">
          <cell r="U311" t="str">
            <v>No</v>
          </cell>
        </row>
        <row r="312">
          <cell r="U312" t="str">
            <v>No</v>
          </cell>
        </row>
        <row r="313">
          <cell r="U313" t="str">
            <v>Yes</v>
          </cell>
        </row>
        <row r="314">
          <cell r="U314" t="str">
            <v>No</v>
          </cell>
        </row>
        <row r="315">
          <cell r="U315" t="str">
            <v>No</v>
          </cell>
        </row>
        <row r="316">
          <cell r="U316" t="str">
            <v>No</v>
          </cell>
        </row>
        <row r="317">
          <cell r="U317" t="str">
            <v>No</v>
          </cell>
        </row>
        <row r="318">
          <cell r="U318" t="str">
            <v>No</v>
          </cell>
        </row>
        <row r="319">
          <cell r="U319" t="str">
            <v>No</v>
          </cell>
        </row>
        <row r="320">
          <cell r="U320" t="str">
            <v>No</v>
          </cell>
        </row>
        <row r="321">
          <cell r="U321" t="str">
            <v>No</v>
          </cell>
        </row>
        <row r="322">
          <cell r="F322" t="str">
            <v>Q4 01</v>
          </cell>
          <cell r="U322" t="str">
            <v>Yes</v>
          </cell>
        </row>
        <row r="323">
          <cell r="F323" t="str">
            <v>Q4 01</v>
          </cell>
          <cell r="U323" t="str">
            <v>Yes</v>
          </cell>
        </row>
        <row r="324">
          <cell r="F324" t="str">
            <v>Q4 01</v>
          </cell>
          <cell r="U324" t="str">
            <v>Yes</v>
          </cell>
        </row>
        <row r="325">
          <cell r="F325" t="str">
            <v>Q4 01</v>
          </cell>
          <cell r="U325" t="str">
            <v>Yes</v>
          </cell>
        </row>
        <row r="326">
          <cell r="F326" t="str">
            <v>Q4 01</v>
          </cell>
          <cell r="U326" t="str">
            <v>No</v>
          </cell>
        </row>
        <row r="327">
          <cell r="F327" t="str">
            <v>Q4 01</v>
          </cell>
          <cell r="U327" t="str">
            <v>Yes</v>
          </cell>
        </row>
        <row r="328">
          <cell r="F328" t="str">
            <v>Q1'02</v>
          </cell>
          <cell r="U328" t="str">
            <v>No</v>
          </cell>
        </row>
        <row r="329">
          <cell r="F329" t="str">
            <v>Q1'02</v>
          </cell>
          <cell r="U329" t="str">
            <v>No</v>
          </cell>
        </row>
        <row r="330">
          <cell r="F330" t="str">
            <v>Q1'02</v>
          </cell>
          <cell r="U330" t="str">
            <v>No</v>
          </cell>
        </row>
        <row r="331">
          <cell r="F331" t="str">
            <v>Q1'02</v>
          </cell>
          <cell r="U331" t="str">
            <v>No</v>
          </cell>
        </row>
        <row r="332">
          <cell r="F332" t="str">
            <v>Q1'02</v>
          </cell>
          <cell r="U332" t="str">
            <v>No</v>
          </cell>
        </row>
        <row r="333">
          <cell r="F333" t="str">
            <v>Q4'01</v>
          </cell>
          <cell r="U333" t="str">
            <v>No</v>
          </cell>
        </row>
        <row r="334">
          <cell r="F334" t="str">
            <v>Q4'01</v>
          </cell>
          <cell r="U334" t="str">
            <v>No</v>
          </cell>
        </row>
        <row r="335">
          <cell r="F335" t="str">
            <v>Q4'01</v>
          </cell>
          <cell r="U335" t="str">
            <v>No</v>
          </cell>
        </row>
        <row r="336">
          <cell r="U336" t="str">
            <v>No</v>
          </cell>
        </row>
        <row r="337">
          <cell r="F337" t="str">
            <v>Q1'02</v>
          </cell>
          <cell r="U337" t="str">
            <v>No</v>
          </cell>
        </row>
        <row r="338">
          <cell r="F338" t="str">
            <v>Q1'02</v>
          </cell>
          <cell r="U338" t="str">
            <v>No</v>
          </cell>
        </row>
        <row r="339">
          <cell r="F339" t="str">
            <v>Q2'02</v>
          </cell>
          <cell r="U339" t="str">
            <v>No</v>
          </cell>
        </row>
        <row r="340">
          <cell r="F340" t="str">
            <v>Q1'02</v>
          </cell>
          <cell r="U340" t="str">
            <v>No</v>
          </cell>
        </row>
        <row r="341">
          <cell r="F341" t="str">
            <v>Q2'02</v>
          </cell>
          <cell r="U341" t="str">
            <v>No</v>
          </cell>
        </row>
        <row r="342">
          <cell r="F342" t="str">
            <v>Q4 01</v>
          </cell>
          <cell r="U342" t="str">
            <v>No</v>
          </cell>
        </row>
        <row r="343">
          <cell r="F343" t="str">
            <v>Q4 01</v>
          </cell>
          <cell r="U343" t="str">
            <v>No</v>
          </cell>
        </row>
        <row r="344">
          <cell r="F344" t="str">
            <v>Q4 01</v>
          </cell>
          <cell r="U344" t="str">
            <v>No</v>
          </cell>
        </row>
        <row r="345">
          <cell r="F345" t="str">
            <v>Q4 01</v>
          </cell>
          <cell r="U345" t="str">
            <v>No</v>
          </cell>
        </row>
        <row r="346">
          <cell r="F346" t="str">
            <v>Q4 01</v>
          </cell>
          <cell r="U346" t="str">
            <v>No</v>
          </cell>
        </row>
        <row r="347">
          <cell r="F347" t="str">
            <v>Q1'02</v>
          </cell>
          <cell r="U347" t="str">
            <v>Yes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"/>
      <sheetName val="XXXXXX"/>
      <sheetName val="Summary"/>
      <sheetName val="Summary_EO"/>
      <sheetName val="Remaining"/>
      <sheetName val="Target2001"/>
      <sheetName val="TG2002-sumatera"/>
      <sheetName val="TG2002-Mid_Java"/>
      <sheetName val="TG2002-Bali"/>
      <sheetName val="TG2002-Mataram_Kupang"/>
      <sheetName val="TG2002-Sulawesi"/>
      <sheetName val="TG2002-Irja"/>
      <sheetName val="HPS-data"/>
      <sheetName val="12SLA"/>
      <sheetName val="12FAT100"/>
      <sheetName val="BASE FRAME WITH PO"/>
      <sheetName val="Pipe"/>
      <sheetName val="Overview"/>
      <sheetName val="HPS_data"/>
      <sheetName val="GLP's and PSPC's"/>
      <sheetName val="Factors"/>
      <sheetName val="Inputs &amp; Assumptions"/>
      <sheetName val="Prices-table"/>
      <sheetName val="X-file"/>
      <sheetName val="BASE_FRAME_WITH_PO"/>
      <sheetName val="GLP's_and_PSPC's"/>
      <sheetName val="Inputs_&amp;_Assumptions"/>
      <sheetName val="Validation"/>
      <sheetName val="NL290"/>
      <sheetName val="NL290 WGACC &amp; DEHYDR."/>
      <sheetName val="SPRS breakdown pricing"/>
      <sheetName val="COSY"/>
      <sheetName val="PRICE"/>
      <sheetName val="PSPC_LE_Pnext_Current"/>
      <sheetName val="Antenna"/>
      <sheetName val="Shopping_list_CME"/>
      <sheetName val="Parameter"/>
      <sheetName val="Bsc location"/>
      <sheetName val="Sheet2"/>
      <sheetName val="Sheet1"/>
      <sheetName val="Input"/>
      <sheetName val="BASE_FRAME_WITH_PO1"/>
      <sheetName val="GLP's_and_PSPC's1"/>
      <sheetName val="Inputs_&amp;_Assumptions1"/>
      <sheetName val="NL290_WGACC_&amp;_DEHYDR_"/>
      <sheetName val="SPRS_breakdown_pricing"/>
      <sheetName val="Bsc_location"/>
      <sheetName val="Pontianak"/>
      <sheetName val="Palangkaraya"/>
      <sheetName val="Samarinda"/>
      <sheetName val="Banjarmasin"/>
      <sheetName val="Balikpapan"/>
      <sheetName val="berlang"/>
      <sheetName val="Other"/>
      <sheetName val="mdl dari indosat"/>
      <sheetName val="DATA-BASE"/>
      <sheetName val="General"/>
      <sheetName val="Site list &amp; konf"/>
      <sheetName val="BASE_FRAME_WITH_PO2"/>
      <sheetName val="GLP's_and_PSPC's2"/>
      <sheetName val="Inputs_&amp;_Assumptions2"/>
      <sheetName val="NL290_WGACC_&amp;_DEHYDR_1"/>
      <sheetName val="SPRS_breakdown_pricing1"/>
      <sheetName val="Bsc_location1"/>
      <sheetName val="CJ 39 SONY Configuration"/>
      <sheetName val="Base"/>
      <sheetName val="Outsource_Costs"/>
      <sheetName val="I_Pricing"/>
      <sheetName val="Price_simulation"/>
      <sheetName val="C_RC_Financials"/>
      <sheetName val="I&amp;O_Valuation"/>
      <sheetName val="3G #3 Sulmalirja 2013 27Site_Ne"/>
      <sheetName val="DB"/>
      <sheetName val="New site"/>
      <sheetName val="BASE_FRAME_WITH_PO3"/>
      <sheetName val="Legenda"/>
      <sheetName val="Implementation"/>
      <sheetName val="HWSW1"/>
      <sheetName val="Parameters"/>
      <sheetName val="Coeffs"/>
      <sheetName val="cpc1641SX631"/>
      <sheetName val="NOMENCLATURE"/>
      <sheetName val="Equipment"/>
      <sheetName val="Package"/>
      <sheetName val="Discount + services"/>
      <sheetName val="Financial Inputs"/>
      <sheetName val="General inputs"/>
      <sheetName val="Winform Interface"/>
      <sheetName val="Scope of Works"/>
      <sheetName val="Ledgen"/>
      <sheetName val="VF configurations_quantitites"/>
      <sheetName val="SW Sum O3 Ref w O traffic mod"/>
      <sheetName val="Optional SW Pricing summary"/>
      <sheetName val="shopping list"/>
      <sheetName val="OBR3.0 Upgrade"/>
      <sheetName val="Inputs &amp; Reminders"/>
      <sheetName val="COA Infomedia"/>
      <sheetName val="Mapp COA"/>
      <sheetName val="Data"/>
      <sheetName val="Divre 7 detail"/>
      <sheetName val="Invoice"/>
      <sheetName val="Masa Sewa Berakhir"/>
      <sheetName val="Target Renewal 2019"/>
      <sheetName val="Masa Sewa Berakhir 2019 2020"/>
      <sheetName val="L3-AAA"/>
      <sheetName val="Jadwal Penguasan TA"/>
      <sheetName val="ESCON"/>
      <sheetName val="Data Network"/>
      <sheetName val="TCM EXT Catalogue"/>
      <sheetName val="Pricelist 2004c"/>
      <sheetName val="Project LL "/>
      <sheetName val="site"/>
      <sheetName val="Royalty"/>
      <sheetName val="Curr_ Site Names_ Flex conf"/>
      <sheetName val="refStatus blm kontrak"/>
      <sheetName val="Service"/>
      <sheetName val="STATUS IMLEMENTASI"/>
      <sheetName val="General Information"/>
      <sheetName val="Currency _ Site Names"/>
      <sheetName val="Matrice_ampl"/>
      <sheetName val="Matrice_list"/>
      <sheetName val="Matrice_SDG_OROL"/>
      <sheetName val="Mixer"/>
      <sheetName val="RiskData"/>
      <sheetName val="97 BUDGET"/>
      <sheetName val="CustomerGroup"/>
      <sheetName val="1.9 7G,1+1,SDH,1.8M Ant"/>
      <sheetName val="GLP"/>
      <sheetName val="Rekap"/>
      <sheetName val="Project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7">
          <cell r="B7">
            <v>13</v>
          </cell>
          <cell r="C7">
            <v>5</v>
          </cell>
          <cell r="D7">
            <v>8</v>
          </cell>
          <cell r="H7">
            <v>1</v>
          </cell>
          <cell r="I7" t="str">
            <v>HPS-11C</v>
          </cell>
        </row>
        <row r="8">
          <cell r="B8">
            <v>18</v>
          </cell>
          <cell r="C8">
            <v>6</v>
          </cell>
          <cell r="D8">
            <v>12</v>
          </cell>
          <cell r="H8">
            <v>1</v>
          </cell>
          <cell r="I8" t="str">
            <v>HPS-11B</v>
          </cell>
        </row>
        <row r="9">
          <cell r="B9">
            <v>19</v>
          </cell>
          <cell r="C9">
            <v>7</v>
          </cell>
          <cell r="D9">
            <v>12</v>
          </cell>
          <cell r="H9">
            <v>1</v>
          </cell>
          <cell r="I9" t="str">
            <v>HPS-11D</v>
          </cell>
        </row>
        <row r="10">
          <cell r="B10">
            <v>27</v>
          </cell>
          <cell r="C10">
            <v>7</v>
          </cell>
          <cell r="D10">
            <v>20</v>
          </cell>
          <cell r="H10">
            <v>1</v>
          </cell>
          <cell r="I10" t="str">
            <v>HPS-11F</v>
          </cell>
        </row>
        <row r="11">
          <cell r="B11">
            <v>28</v>
          </cell>
          <cell r="C11">
            <v>8</v>
          </cell>
          <cell r="D11">
            <v>20</v>
          </cell>
          <cell r="H11">
            <v>1</v>
          </cell>
          <cell r="I11" t="str">
            <v>HPS-11G</v>
          </cell>
        </row>
        <row r="12">
          <cell r="I12" t="str">
            <v>HPS-11A</v>
          </cell>
        </row>
        <row r="13">
          <cell r="I13" t="str">
            <v>HPS-11E</v>
          </cell>
        </row>
        <row r="16">
          <cell r="B16">
            <v>11</v>
          </cell>
          <cell r="C16">
            <v>3</v>
          </cell>
          <cell r="E16">
            <v>8</v>
          </cell>
          <cell r="F16">
            <v>1</v>
          </cell>
          <cell r="I16" t="str">
            <v>HPS-1A</v>
          </cell>
        </row>
        <row r="17">
          <cell r="B17">
            <v>12</v>
          </cell>
          <cell r="C17">
            <v>4</v>
          </cell>
          <cell r="E17">
            <v>8</v>
          </cell>
          <cell r="F17">
            <v>1</v>
          </cell>
          <cell r="I17" t="str">
            <v>HPS-1B</v>
          </cell>
        </row>
        <row r="18">
          <cell r="B18">
            <v>17</v>
          </cell>
          <cell r="C18">
            <v>5</v>
          </cell>
          <cell r="E18">
            <v>12</v>
          </cell>
          <cell r="F18">
            <v>1</v>
          </cell>
          <cell r="I18" t="str">
            <v>HPS-1C</v>
          </cell>
        </row>
        <row r="19">
          <cell r="B19">
            <v>21</v>
          </cell>
          <cell r="C19">
            <v>5</v>
          </cell>
          <cell r="E19">
            <v>16</v>
          </cell>
          <cell r="F19">
            <v>1</v>
          </cell>
          <cell r="I19" t="str">
            <v>HPS-1D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>
        <row r="7">
          <cell r="B7" t="str">
            <v>10TS06B1293</v>
          </cell>
        </row>
      </sheetData>
      <sheetData sheetId="102"/>
      <sheetData sheetId="103"/>
      <sheetData sheetId="104" refreshError="1"/>
      <sheetData sheetId="105">
        <row r="7">
          <cell r="B7" t="str">
            <v>10TS06B1293</v>
          </cell>
        </row>
      </sheetData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S"/>
      <sheetName val="not used"/>
      <sheetName val="NE_SAP"/>
      <sheetName val="NE_SAP_Pos"/>
      <sheetName val="Factors"/>
      <sheetName val="CountryCodes"/>
      <sheetName val="Makro_Price_Format"/>
      <sheetName val="Makro_Insert"/>
      <sheetName val="Makro_Delete"/>
      <sheetName val="Help_Cells"/>
      <sheetName val="IF_Data"/>
      <sheetName val="Makro_Start"/>
      <sheetName val="Makro_Price"/>
      <sheetName val="Makro_End"/>
      <sheetName val="Tabelle"/>
      <sheetName val="BOM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 t="str">
            <v>Telkomsel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sub_total_ME"/>
      <sheetName val="Elektrikal"/>
      <sheetName val="Plumbing"/>
      <sheetName val="AC&amp;Lift"/>
      <sheetName val="Rekapsub-total-ME"/>
      <sheetName val="Rekap-ME"/>
      <sheetName val="Rincian Proj.Mgmt."/>
      <sheetName val="ENG-COST"/>
      <sheetName val="CF-ONE"/>
      <sheetName val="Factors"/>
      <sheetName val="Assumptions"/>
      <sheetName val="Rincian_Proj_Mgmt_"/>
      <sheetName val="HRG BHN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W2">
            <v>1</v>
          </cell>
        </row>
        <row r="3">
          <cell r="W3">
            <v>1</v>
          </cell>
        </row>
      </sheetData>
      <sheetData sheetId="5" refreshError="1"/>
      <sheetData sheetId="6" refreshError="1"/>
      <sheetData sheetId="7" refreshError="1"/>
      <sheetData sheetId="8"/>
      <sheetData sheetId="9" refreshError="1"/>
      <sheetData sheetId="10" refreshError="1"/>
      <sheetData sheetId="11"/>
      <sheetData sheetId="12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 Q4-01"/>
      <sheetName val="SITAC-Model"/>
      <sheetName val="CME-Model"/>
      <sheetName val="CME-Expansion"/>
      <sheetName val="Sumatera Q4-01"/>
      <sheetName val="Middle Java Q4-01"/>
      <sheetName val="East Java Q4-01"/>
      <sheetName val="Bali-Nusra Q4-01"/>
      <sheetName val="Sulawesi Q4-01"/>
      <sheetName val="Malirja Q4-01"/>
      <sheetName val="SITAC_Model"/>
      <sheetName val="Rekapsub-total-ME"/>
    </sheetNames>
    <sheetDataSet>
      <sheetData sheetId="0" refreshError="1"/>
      <sheetData sheetId="1" refreshError="1">
        <row r="17">
          <cell r="E17">
            <v>27500000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p 3137"/>
      <sheetName val="Cover "/>
      <sheetName val="Input-Civil Summary- Material"/>
      <sheetName val="Civil Work Services"/>
      <sheetName val="M-E"/>
      <sheetName val="M-E Data Base"/>
      <sheetName val="lookup"/>
      <sheetName val="SITAC-Model"/>
      <sheetName val="Prices-table"/>
      <sheetName val="Assumptions"/>
      <sheetName val="Rekapsub-total-ME"/>
      <sheetName val="NL290"/>
      <sheetName val="NL290 WGACC &amp; DEHYDR."/>
    </sheetNames>
    <sheetDataSet>
      <sheetData sheetId="0"/>
      <sheetData sheetId="1"/>
      <sheetData sheetId="2"/>
      <sheetData sheetId="3"/>
      <sheetData sheetId="4"/>
      <sheetData sheetId="5"/>
      <sheetData sheetId="6">
        <row r="105">
          <cell r="A105" t="str">
            <v>Jabotabek</v>
          </cell>
          <cell r="B105">
            <v>1000000</v>
          </cell>
          <cell r="C105">
            <v>0</v>
          </cell>
          <cell r="D105">
            <v>0</v>
          </cell>
        </row>
        <row r="106">
          <cell r="A106" t="str">
            <v>West Java</v>
          </cell>
          <cell r="B106">
            <v>2000000</v>
          </cell>
          <cell r="C106">
            <v>2000000</v>
          </cell>
          <cell r="D106">
            <v>2000000</v>
          </cell>
        </row>
        <row r="107">
          <cell r="A107" t="str">
            <v>Central Java</v>
          </cell>
          <cell r="B107">
            <v>3500000</v>
          </cell>
          <cell r="C107">
            <v>2000000</v>
          </cell>
          <cell r="D107">
            <v>3000000</v>
          </cell>
        </row>
        <row r="108">
          <cell r="A108" t="str">
            <v>East Java</v>
          </cell>
          <cell r="B108">
            <v>4500000</v>
          </cell>
          <cell r="C108">
            <v>2000000</v>
          </cell>
          <cell r="D108">
            <v>3250000</v>
          </cell>
        </row>
        <row r="109">
          <cell r="A109" t="str">
            <v>Bali</v>
          </cell>
          <cell r="B109">
            <v>5000000</v>
          </cell>
          <cell r="C109">
            <v>4000000</v>
          </cell>
          <cell r="D109">
            <v>4750000</v>
          </cell>
        </row>
        <row r="110">
          <cell r="A110" t="str">
            <v>Lombok</v>
          </cell>
          <cell r="B110">
            <v>5500000</v>
          </cell>
          <cell r="C110">
            <v>4000000</v>
          </cell>
          <cell r="D110">
            <v>5250000</v>
          </cell>
        </row>
        <row r="111">
          <cell r="A111" t="str">
            <v>North Sumatera</v>
          </cell>
          <cell r="B111">
            <v>5500000</v>
          </cell>
          <cell r="C111">
            <v>3000000</v>
          </cell>
          <cell r="D111">
            <v>5500000</v>
          </cell>
        </row>
        <row r="112">
          <cell r="A112" t="str">
            <v>Kep. Riau</v>
          </cell>
          <cell r="B112">
            <v>6500000</v>
          </cell>
          <cell r="C112">
            <v>3000000</v>
          </cell>
          <cell r="D112">
            <v>5500000</v>
          </cell>
        </row>
        <row r="113">
          <cell r="A113" t="str">
            <v>Riau</v>
          </cell>
          <cell r="B113">
            <v>5500000</v>
          </cell>
          <cell r="C113">
            <v>3000000</v>
          </cell>
          <cell r="D113">
            <v>5500000</v>
          </cell>
        </row>
        <row r="114">
          <cell r="A114" t="str">
            <v>Batam</v>
          </cell>
          <cell r="B114">
            <v>6000000</v>
          </cell>
          <cell r="C114">
            <v>3000000</v>
          </cell>
          <cell r="D114">
            <v>5000000</v>
          </cell>
        </row>
        <row r="115">
          <cell r="A115" t="str">
            <v>West Sumatera</v>
          </cell>
          <cell r="B115">
            <v>4000000</v>
          </cell>
          <cell r="C115">
            <v>3000000</v>
          </cell>
          <cell r="D115">
            <v>5000000</v>
          </cell>
        </row>
        <row r="116">
          <cell r="A116" t="str">
            <v>South Sumatera</v>
          </cell>
          <cell r="B116">
            <v>3500000</v>
          </cell>
          <cell r="C116">
            <v>3000000</v>
          </cell>
          <cell r="D116">
            <v>3000000</v>
          </cell>
        </row>
        <row r="117">
          <cell r="A117" t="str">
            <v>Lampung</v>
          </cell>
          <cell r="B117">
            <v>2500000</v>
          </cell>
          <cell r="C117">
            <v>3000000</v>
          </cell>
          <cell r="D117">
            <v>2000000</v>
          </cell>
        </row>
        <row r="118">
          <cell r="A118" t="str">
            <v>Bengkulu</v>
          </cell>
          <cell r="B118">
            <v>3500000</v>
          </cell>
          <cell r="C118">
            <v>3000000</v>
          </cell>
          <cell r="D118">
            <v>3000000</v>
          </cell>
        </row>
        <row r="119">
          <cell r="A119" t="str">
            <v>Jambi</v>
          </cell>
          <cell r="B119">
            <v>3500000</v>
          </cell>
          <cell r="C119">
            <v>3000000</v>
          </cell>
          <cell r="D119">
            <v>3500000</v>
          </cell>
        </row>
        <row r="120">
          <cell r="A120" t="str">
            <v>South Kalimantan</v>
          </cell>
          <cell r="B120">
            <v>6000000</v>
          </cell>
          <cell r="C120">
            <v>4000000</v>
          </cell>
          <cell r="D120">
            <v>4500000</v>
          </cell>
        </row>
        <row r="121">
          <cell r="A121" t="str">
            <v>East Kalimantan</v>
          </cell>
          <cell r="B121">
            <v>7500000</v>
          </cell>
          <cell r="C121">
            <v>4000000</v>
          </cell>
          <cell r="D121">
            <v>4500000</v>
          </cell>
        </row>
        <row r="122">
          <cell r="A122" t="str">
            <v>Center Kalimantan</v>
          </cell>
          <cell r="B122">
            <v>6500000</v>
          </cell>
          <cell r="C122">
            <v>4000000</v>
          </cell>
          <cell r="D122">
            <v>5000000</v>
          </cell>
        </row>
        <row r="123">
          <cell r="A123" t="str">
            <v>West Kalimantan</v>
          </cell>
          <cell r="B123">
            <v>6500000</v>
          </cell>
          <cell r="C123">
            <v>4000000</v>
          </cell>
          <cell r="D123">
            <v>4000000</v>
          </cell>
        </row>
        <row r="124">
          <cell r="A124" t="str">
            <v>South Sulawesi</v>
          </cell>
          <cell r="B124">
            <v>6000000</v>
          </cell>
          <cell r="C124">
            <v>4000000</v>
          </cell>
          <cell r="D124">
            <v>5000000</v>
          </cell>
        </row>
        <row r="125">
          <cell r="A125" t="str">
            <v>Central Sulawesi</v>
          </cell>
          <cell r="B125">
            <v>6500000</v>
          </cell>
          <cell r="C125">
            <v>4000000</v>
          </cell>
          <cell r="D125">
            <v>5500000</v>
          </cell>
        </row>
        <row r="126">
          <cell r="A126" t="str">
            <v>South East Sulawesi</v>
          </cell>
          <cell r="B126">
            <v>6500000</v>
          </cell>
          <cell r="C126">
            <v>4000000</v>
          </cell>
          <cell r="D126">
            <v>5500000</v>
          </cell>
        </row>
        <row r="127">
          <cell r="A127" t="str">
            <v>North Sulawesi</v>
          </cell>
          <cell r="B127">
            <v>7500000</v>
          </cell>
          <cell r="C127">
            <v>4000000</v>
          </cell>
          <cell r="D127">
            <v>6000000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analisa"/>
      <sheetName val="bobot"/>
      <sheetName val="rab"/>
      <sheetName val="rekap"/>
      <sheetName val="Mat Tower"/>
      <sheetName val="NL290"/>
      <sheetName val="NL290 WGACC &amp; DEHYDR."/>
      <sheetName val="X-file"/>
      <sheetName val="margin"/>
      <sheetName val="PSPC_LE_Pnext_Current"/>
      <sheetName val="Parameter"/>
      <sheetName val="12FAT100"/>
      <sheetName val="12SLA"/>
      <sheetName val="Mat_Tower"/>
      <sheetName val="NL290_WGACC_&amp;_DEHYDR_"/>
      <sheetName val="Factors"/>
      <sheetName val="DialogData"/>
      <sheetName val="Input"/>
      <sheetName val="Rates"/>
      <sheetName val="lookup"/>
      <sheetName val="Factor"/>
      <sheetName val="SITAC-Model"/>
      <sheetName val="_x0000_"/>
      <sheetName val="Catuan Utama"/>
      <sheetName val="Mat_Tower1"/>
      <sheetName val="NL290_WGACC_&amp;_DEHYDR_1"/>
      <sheetName val="Implementation"/>
      <sheetName val="HWSW1"/>
      <sheetName val="A300 Std. pricelist"/>
      <sheetName val="Macro2"/>
      <sheetName val="AM-MARGIN"/>
      <sheetName val=""/>
    </sheetNames>
    <sheetDataSet>
      <sheetData sheetId="0" refreshError="1">
        <row r="12">
          <cell r="D12">
            <v>32500</v>
          </cell>
        </row>
        <row r="15">
          <cell r="D15">
            <v>3000</v>
          </cell>
        </row>
        <row r="20">
          <cell r="D20">
            <v>15000</v>
          </cell>
        </row>
        <row r="21">
          <cell r="D21">
            <v>30000</v>
          </cell>
        </row>
        <row r="22">
          <cell r="D22">
            <v>5000</v>
          </cell>
        </row>
        <row r="28">
          <cell r="D28">
            <v>1200000</v>
          </cell>
        </row>
        <row r="34">
          <cell r="D34">
            <v>2000</v>
          </cell>
        </row>
        <row r="39">
          <cell r="D39">
            <v>16750</v>
          </cell>
        </row>
        <row r="46">
          <cell r="D46">
            <v>5000</v>
          </cell>
        </row>
        <row r="49">
          <cell r="D49">
            <v>12152.777777777777</v>
          </cell>
        </row>
        <row r="58">
          <cell r="D58">
            <v>14000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Acessoris"/>
      <sheetName val="Apartement"/>
      <sheetName val="Jembatan"/>
      <sheetName val="MallAC"/>
      <sheetName val="Ana Duct"/>
      <sheetName val="Hsd Duct"/>
      <sheetName val="Pipe"/>
      <sheetName val="Grille"/>
      <sheetName val="valve"/>
      <sheetName val="Dafmat"/>
      <sheetName val="DM"/>
      <sheetName val="Peghitungan"/>
      <sheetName val="MALL_K"/>
      <sheetName val="Item Tambahan"/>
      <sheetName val="APARTment_K"/>
      <sheetName val="Jembatan_K"/>
      <sheetName val="CONV_TAB"/>
      <sheetName val="Musfir"/>
      <sheetName val="Harga Material"/>
      <sheetName val="Ana_Duct"/>
      <sheetName val="Hsd_Duct"/>
      <sheetName val="Item_Tambahan"/>
      <sheetName val="Harga_Material"/>
      <sheetName val="Alloc 1"/>
      <sheetName val="Calender"/>
      <sheetName val="AM-MARGIN"/>
      <sheetName val="AMC-99"/>
      <sheetName val="Macro1"/>
      <sheetName val="ME"/>
      <sheetName val="MATRIX"/>
      <sheetName val="Power"/>
      <sheetName val="Calendar"/>
      <sheetName val="harga"/>
      <sheetName val="SPRS breakdown pricing"/>
      <sheetName val="1500P_3+0"/>
      <sheetName val="Ana_Duct1"/>
      <sheetName val="Hsd_Duct1"/>
      <sheetName val="Item_Tambahan1"/>
      <sheetName val="Harga_Material1"/>
      <sheetName val="Alloc_1"/>
      <sheetName val="CURRENC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C1" t="str">
            <v>C:\Personal\Project'01\</v>
          </cell>
        </row>
        <row r="2">
          <cell r="C2" t="str">
            <v>ANALISA HARGA SATUAN</v>
          </cell>
          <cell r="AH2" t="str">
            <v>Mark Up</v>
          </cell>
        </row>
        <row r="3">
          <cell r="C3" t="str">
            <v xml:space="preserve">PROYEK              :   STANDARD  </v>
          </cell>
          <cell r="AH3">
            <v>1.1499999999999999</v>
          </cell>
        </row>
        <row r="4">
          <cell r="C4" t="str">
            <v>PEKERJAAN        :   PEMIPAAN AIR CONDITIONING</v>
          </cell>
        </row>
        <row r="5">
          <cell r="CB5" t="str">
            <v>Al.Foil</v>
          </cell>
          <cell r="CC5" t="str">
            <v>Adh.Tape</v>
          </cell>
        </row>
        <row r="6">
          <cell r="G6" t="str">
            <v>Harga / M'</v>
          </cell>
        </row>
        <row r="7">
          <cell r="A7" t="str">
            <v>Dia.</v>
          </cell>
          <cell r="C7" t="str">
            <v>Dia.</v>
          </cell>
          <cell r="E7" t="str">
            <v xml:space="preserve">Tebal </v>
          </cell>
          <cell r="G7" t="str">
            <v>Pipa</v>
          </cell>
          <cell r="I7" t="str">
            <v>Hanger</v>
          </cell>
          <cell r="K7" t="str">
            <v>Upah</v>
          </cell>
          <cell r="M7" t="str">
            <v>Fittings</v>
          </cell>
          <cell r="O7" t="str">
            <v>Isolasi</v>
          </cell>
          <cell r="Q7" t="str">
            <v>mat.</v>
          </cell>
          <cell r="S7" t="str">
            <v xml:space="preserve">Metal </v>
          </cell>
          <cell r="U7" t="str">
            <v>Total</v>
          </cell>
          <cell r="W7" t="str">
            <v>Total</v>
          </cell>
          <cell r="Y7" t="str">
            <v>Total</v>
          </cell>
          <cell r="AA7" t="str">
            <v>Total</v>
          </cell>
          <cell r="AC7" t="str">
            <v>Total</v>
          </cell>
          <cell r="AE7" t="str">
            <v>Total</v>
          </cell>
          <cell r="AH7" t="str">
            <v>Pipe</v>
          </cell>
          <cell r="AI7" t="str">
            <v>Hanger/</v>
          </cell>
          <cell r="AJ7" t="str">
            <v>Labour</v>
          </cell>
          <cell r="AK7" t="str">
            <v>Labour</v>
          </cell>
          <cell r="AL7" t="str">
            <v>Ins.</v>
          </cell>
          <cell r="AM7" t="str">
            <v>Misc.</v>
          </cell>
          <cell r="AN7" t="str">
            <v xml:space="preserve">M.Jack. </v>
          </cell>
          <cell r="AO7" t="str">
            <v>Aluminium</v>
          </cell>
          <cell r="AP7" t="str">
            <v>BJLS</v>
          </cell>
          <cell r="AQ7" t="str">
            <v>Vibration Control System</v>
          </cell>
          <cell r="AR7" t="str">
            <v>Vibration</v>
          </cell>
          <cell r="AU7" t="str">
            <v>Armaflex</v>
          </cell>
          <cell r="BC7" t="str">
            <v xml:space="preserve">Insulflex </v>
          </cell>
          <cell r="BJ7" t="str">
            <v>Thermaflex (FR-Z)</v>
          </cell>
          <cell r="BT7" t="str">
            <v>Phenofoam-K</v>
          </cell>
          <cell r="CB7" t="str">
            <v>Sisalation 430P</v>
          </cell>
          <cell r="CC7">
            <v>636.57407407407391</v>
          </cell>
          <cell r="CE7" t="str">
            <v>Price List</v>
          </cell>
        </row>
        <row r="8">
          <cell r="A8" t="str">
            <v>(inch)</v>
          </cell>
          <cell r="C8" t="str">
            <v>(mm)</v>
          </cell>
          <cell r="E8" t="str">
            <v>isolasi</v>
          </cell>
          <cell r="I8" t="str">
            <v>Support</v>
          </cell>
          <cell r="M8">
            <v>0.4</v>
          </cell>
          <cell r="Q8" t="str">
            <v>bantu</v>
          </cell>
          <cell r="S8" t="str">
            <v>Jacketing</v>
          </cell>
          <cell r="U8" t="str">
            <v>a+b</v>
          </cell>
          <cell r="W8" t="str">
            <v>a+b+d</v>
          </cell>
          <cell r="Y8" t="str">
            <v>h+e+f</v>
          </cell>
          <cell r="AA8" t="str">
            <v>i+e+f</v>
          </cell>
          <cell r="AC8" t="str">
            <v>j+g</v>
          </cell>
          <cell r="AE8" t="str">
            <v>k+g</v>
          </cell>
          <cell r="AI8" t="str">
            <v>Supports</v>
          </cell>
          <cell r="AJ8" t="str">
            <v>Pipe</v>
          </cell>
          <cell r="AK8" t="str">
            <v>Insulation</v>
          </cell>
          <cell r="AM8">
            <v>0.05</v>
          </cell>
          <cell r="AN8" t="str">
            <v xml:space="preserve">  0.4 mm</v>
          </cell>
          <cell r="AO8">
            <v>2546.2962962962961</v>
          </cell>
          <cell r="AP8">
            <v>2043.4375</v>
          </cell>
          <cell r="AQ8" t="str">
            <v xml:space="preserve">  HEA A140(8mm;144kg)</v>
          </cell>
          <cell r="AR8">
            <v>338100.00000000006</v>
          </cell>
          <cell r="AW8" t="str">
            <v>Disc =</v>
          </cell>
          <cell r="AX8">
            <v>0.3</v>
          </cell>
          <cell r="BE8" t="str">
            <v>Disc =</v>
          </cell>
          <cell r="BF8">
            <v>0.35</v>
          </cell>
          <cell r="BM8" t="str">
            <v>Disc =</v>
          </cell>
          <cell r="BN8">
            <v>0.15</v>
          </cell>
          <cell r="BV8" t="str">
            <v>Disc =</v>
          </cell>
          <cell r="BW8">
            <v>0.1</v>
          </cell>
          <cell r="CB8" t="str">
            <v>Sisalation 430</v>
          </cell>
          <cell r="CC8">
            <v>345.37037037037032</v>
          </cell>
          <cell r="CE8" t="str">
            <v>BSP</v>
          </cell>
          <cell r="CF8" t="str">
            <v>GIP</v>
          </cell>
          <cell r="CG8" t="str">
            <v>BSP</v>
          </cell>
        </row>
        <row r="9">
          <cell r="E9" t="str">
            <v>(Inch)</v>
          </cell>
          <cell r="G9" t="str">
            <v>(Rp.)</v>
          </cell>
          <cell r="I9" t="str">
            <v>(Rp.)</v>
          </cell>
          <cell r="K9" t="str">
            <v>(Rp.)</v>
          </cell>
          <cell r="M9" t="str">
            <v>(Rp.)</v>
          </cell>
          <cell r="O9" t="str">
            <v>(Rp.)</v>
          </cell>
          <cell r="Q9" t="str">
            <v>(Rp.)</v>
          </cell>
          <cell r="S9" t="str">
            <v>(Rp.)</v>
          </cell>
          <cell r="U9" t="str">
            <v>w/o fitt.&amp;ins.</v>
          </cell>
          <cell r="W9" t="str">
            <v>w/o insl.</v>
          </cell>
          <cell r="Y9" t="str">
            <v>w/o fitt</v>
          </cell>
          <cell r="AA9" t="str">
            <v>w/insl.</v>
          </cell>
          <cell r="AC9" t="str">
            <v>c/w M. Jack</v>
          </cell>
          <cell r="AE9" t="str">
            <v>c/w M. Jack</v>
          </cell>
          <cell r="AJ9">
            <v>2250</v>
          </cell>
          <cell r="AK9">
            <v>1000</v>
          </cell>
          <cell r="AN9" t="str">
            <v xml:space="preserve">  0.5 mm</v>
          </cell>
          <cell r="AO9">
            <v>3009.2592592592591</v>
          </cell>
          <cell r="AP9">
            <v>2516.71875</v>
          </cell>
          <cell r="AQ9" t="str">
            <v xml:space="preserve">  NM A30&amp;A50(7mm;133kg)</v>
          </cell>
          <cell r="AR9">
            <v>120540.00000000001</v>
          </cell>
          <cell r="AT9" t="str">
            <v>1/2"</v>
          </cell>
          <cell r="AU9" t="str">
            <v>3/4"</v>
          </cell>
          <cell r="AV9" t="str">
            <v>1</v>
          </cell>
          <cell r="AW9" t="str">
            <v>1 1/4"</v>
          </cell>
          <cell r="AX9" t="str">
            <v>1 1/2</v>
          </cell>
          <cell r="AY9" t="str">
            <v>2</v>
          </cell>
          <cell r="AZ9" t="str">
            <v>2 1/2</v>
          </cell>
          <cell r="BB9" t="str">
            <v>1/2"</v>
          </cell>
          <cell r="BC9" t="str">
            <v>3/4"</v>
          </cell>
          <cell r="BD9" t="str">
            <v>1</v>
          </cell>
          <cell r="BE9" t="str">
            <v>1 3/8"</v>
          </cell>
          <cell r="BF9" t="str">
            <v>1 1/2</v>
          </cell>
          <cell r="BG9" t="str">
            <v>2</v>
          </cell>
          <cell r="BH9" t="str">
            <v>2 1/2</v>
          </cell>
          <cell r="BJ9" t="str">
            <v>1/2 "</v>
          </cell>
          <cell r="BK9" t="str">
            <v>3/4 "</v>
          </cell>
          <cell r="BL9" t="str">
            <v>1</v>
          </cell>
          <cell r="BM9" t="str">
            <v>1 3/8"</v>
          </cell>
          <cell r="BN9" t="str">
            <v>1 1/2</v>
          </cell>
          <cell r="BO9" t="str">
            <v>1 3/4</v>
          </cell>
          <cell r="BP9" t="str">
            <v>2</v>
          </cell>
          <cell r="BQ9" t="str">
            <v>2 1/2</v>
          </cell>
          <cell r="BR9" t="str">
            <v>2 3/4</v>
          </cell>
          <cell r="BT9" t="str">
            <v>3/4"</v>
          </cell>
          <cell r="BU9" t="str">
            <v>1</v>
          </cell>
          <cell r="BV9" t="str">
            <v>1 1/4"</v>
          </cell>
          <cell r="BW9" t="str">
            <v>1 1/2</v>
          </cell>
          <cell r="BX9" t="str">
            <v>2</v>
          </cell>
          <cell r="BY9" t="str">
            <v>2 1/2</v>
          </cell>
          <cell r="BZ9" t="str">
            <v>2 3/4</v>
          </cell>
          <cell r="CB9" t="str">
            <v>Thermofoil 730</v>
          </cell>
          <cell r="CC9">
            <v>643.00411522633726</v>
          </cell>
          <cell r="CE9" t="str">
            <v>Medium</v>
          </cell>
          <cell r="CF9" t="str">
            <v>Medium</v>
          </cell>
          <cell r="CG9" t="str">
            <v>Sch 40</v>
          </cell>
        </row>
        <row r="10">
          <cell r="G10" t="str">
            <v>a</v>
          </cell>
          <cell r="I10" t="str">
            <v>b</v>
          </cell>
          <cell r="K10" t="str">
            <v>c</v>
          </cell>
          <cell r="M10" t="str">
            <v>d</v>
          </cell>
          <cell r="O10" t="str">
            <v>e</v>
          </cell>
          <cell r="Q10" t="str">
            <v>f</v>
          </cell>
          <cell r="S10" t="str">
            <v>g</v>
          </cell>
          <cell r="U10" t="str">
            <v>h</v>
          </cell>
          <cell r="W10" t="str">
            <v>i</v>
          </cell>
          <cell r="Y10" t="str">
            <v>j</v>
          </cell>
          <cell r="AA10" t="str">
            <v>k</v>
          </cell>
          <cell r="AC10" t="str">
            <v>l</v>
          </cell>
          <cell r="AE10" t="str">
            <v>m</v>
          </cell>
          <cell r="AH10">
            <v>0.4</v>
          </cell>
          <cell r="AN10" t="str">
            <v xml:space="preserve">  0.6 mm</v>
          </cell>
          <cell r="AO10">
            <v>4004.6296296296296</v>
          </cell>
          <cell r="AP10">
            <v>3026.5625</v>
          </cell>
          <cell r="AQ10" t="str">
            <v xml:space="preserve">  NM B50&amp;B60(7mm;216kg)</v>
          </cell>
          <cell r="AR10">
            <v>201390.00000000003</v>
          </cell>
          <cell r="CB10" t="str">
            <v>Thermofoil 731 EE</v>
          </cell>
          <cell r="CC10">
            <v>193.82716049382717</v>
          </cell>
        </row>
        <row r="13">
          <cell r="C13" t="str">
            <v>PIPA CHILLER</v>
          </cell>
        </row>
        <row r="14">
          <cell r="C14" t="str">
            <v>Material      :  Black Steel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E17">
            <v>1</v>
          </cell>
          <cell r="G17">
            <v>4890</v>
          </cell>
          <cell r="I17">
            <v>1960</v>
          </cell>
        </row>
        <row r="18">
          <cell r="A18">
            <v>0.75</v>
          </cell>
          <cell r="C18">
            <v>20</v>
          </cell>
          <cell r="E18">
            <v>1</v>
          </cell>
          <cell r="G18">
            <v>6270</v>
          </cell>
          <cell r="I18">
            <v>2070</v>
          </cell>
        </row>
        <row r="19">
          <cell r="A19">
            <v>1</v>
          </cell>
          <cell r="C19">
            <v>25</v>
          </cell>
          <cell r="E19">
            <v>1</v>
          </cell>
          <cell r="G19">
            <v>9720</v>
          </cell>
          <cell r="I19">
            <v>2110</v>
          </cell>
        </row>
        <row r="20">
          <cell r="A20">
            <v>1.25</v>
          </cell>
          <cell r="C20">
            <v>32</v>
          </cell>
          <cell r="E20">
            <v>1</v>
          </cell>
          <cell r="G20">
            <v>12420</v>
          </cell>
          <cell r="I20">
            <v>2150</v>
          </cell>
        </row>
        <row r="21">
          <cell r="A21">
            <v>1.5</v>
          </cell>
          <cell r="C21">
            <v>40</v>
          </cell>
          <cell r="E21">
            <v>1.25</v>
          </cell>
          <cell r="G21">
            <v>14030</v>
          </cell>
          <cell r="I21">
            <v>2190</v>
          </cell>
        </row>
        <row r="22">
          <cell r="A22">
            <v>2</v>
          </cell>
          <cell r="C22">
            <v>50</v>
          </cell>
          <cell r="E22">
            <v>1.25</v>
          </cell>
          <cell r="G22">
            <v>19720</v>
          </cell>
          <cell r="I22">
            <v>2230</v>
          </cell>
        </row>
        <row r="23">
          <cell r="A23">
            <v>2.5</v>
          </cell>
          <cell r="C23">
            <v>65</v>
          </cell>
          <cell r="E23">
            <v>1.25</v>
          </cell>
          <cell r="G23">
            <v>25130</v>
          </cell>
          <cell r="I23">
            <v>2360</v>
          </cell>
        </row>
        <row r="24">
          <cell r="A24">
            <v>3</v>
          </cell>
          <cell r="C24">
            <v>80</v>
          </cell>
          <cell r="E24">
            <v>1.25</v>
          </cell>
          <cell r="G24">
            <v>33010</v>
          </cell>
          <cell r="I24">
            <v>3580</v>
          </cell>
        </row>
        <row r="25">
          <cell r="A25">
            <v>4</v>
          </cell>
          <cell r="C25">
            <v>100</v>
          </cell>
          <cell r="E25">
            <v>1.25</v>
          </cell>
          <cell r="G25">
            <v>47270</v>
          </cell>
          <cell r="I25">
            <v>3690</v>
          </cell>
        </row>
        <row r="26">
          <cell r="A26">
            <v>5</v>
          </cell>
          <cell r="C26">
            <v>125</v>
          </cell>
          <cell r="E26">
            <v>1.25</v>
          </cell>
          <cell r="G26">
            <v>62390</v>
          </cell>
          <cell r="I26">
            <v>4230</v>
          </cell>
        </row>
        <row r="27">
          <cell r="A27">
            <v>6</v>
          </cell>
          <cell r="C27">
            <v>150</v>
          </cell>
          <cell r="E27">
            <v>1.5</v>
          </cell>
          <cell r="G27">
            <v>74060</v>
          </cell>
          <cell r="I27">
            <v>4370</v>
          </cell>
        </row>
        <row r="28">
          <cell r="A28">
            <v>8</v>
          </cell>
          <cell r="C28">
            <v>200</v>
          </cell>
          <cell r="E28">
            <v>1.5</v>
          </cell>
          <cell r="G28">
            <v>142200</v>
          </cell>
          <cell r="I28">
            <v>4640</v>
          </cell>
        </row>
        <row r="29">
          <cell r="A29">
            <v>10</v>
          </cell>
          <cell r="C29">
            <v>250</v>
          </cell>
          <cell r="E29">
            <v>1.5</v>
          </cell>
          <cell r="G29">
            <v>178190</v>
          </cell>
          <cell r="I29">
            <v>4910</v>
          </cell>
        </row>
        <row r="30">
          <cell r="A30">
            <v>12</v>
          </cell>
          <cell r="C30">
            <v>300</v>
          </cell>
          <cell r="E30">
            <v>1.5</v>
          </cell>
          <cell r="G30">
            <v>212120</v>
          </cell>
          <cell r="I30">
            <v>5190</v>
          </cell>
        </row>
        <row r="31">
          <cell r="A31">
            <v>14</v>
          </cell>
          <cell r="C31">
            <v>350</v>
          </cell>
          <cell r="E31">
            <v>1.5</v>
          </cell>
          <cell r="G31">
            <v>237420</v>
          </cell>
          <cell r="I31">
            <v>5190</v>
          </cell>
        </row>
        <row r="32">
          <cell r="A32">
            <v>16</v>
          </cell>
          <cell r="B32">
            <v>16</v>
          </cell>
          <cell r="C32">
            <v>400</v>
          </cell>
          <cell r="E32">
            <v>1.5</v>
          </cell>
          <cell r="G32">
            <v>271980</v>
          </cell>
          <cell r="I32">
            <v>5190</v>
          </cell>
        </row>
        <row r="33">
          <cell r="A33">
            <v>20</v>
          </cell>
          <cell r="B33">
            <v>16</v>
          </cell>
          <cell r="C33">
            <v>500</v>
          </cell>
          <cell r="E33">
            <v>1.5</v>
          </cell>
          <cell r="G33">
            <v>575000</v>
          </cell>
          <cell r="I33">
            <v>17250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HS"/>
      <sheetName val="AHS (2)"/>
      <sheetName val="Harga"/>
      <sheetName val="RAP 70 Medium"/>
      <sheetName val="Matrix Material"/>
      <sheetName val="Rekapitulasi"/>
      <sheetName val="Monitoring "/>
      <sheetName val="Bar 70 Medium"/>
      <sheetName val="CL 70 Medium"/>
      <sheetName val="Bar Pagar"/>
      <sheetName val="RAP 70 Format Lama"/>
      <sheetName val="Rekap Progress"/>
      <sheetName val="Harga SS"/>
      <sheetName val="Mat Tower"/>
      <sheetName val="Pipe"/>
      <sheetName val="GLP's and PSPC's"/>
      <sheetName val="Data"/>
      <sheetName val="CONV_TAB"/>
      <sheetName val="BILANG"/>
      <sheetName val="ref"/>
      <sheetName val="AHS_(2)"/>
      <sheetName val="RAP_70_Medium"/>
      <sheetName val="Matrix_Material"/>
      <sheetName val="Monitoring_"/>
      <sheetName val="Bar_70_Medium"/>
      <sheetName val="CL_70_Medium"/>
      <sheetName val="Bar_Pagar"/>
      <sheetName val="RAP_70_Format_Lama"/>
      <sheetName val="Rekap_Progress"/>
      <sheetName val="Harga_SS"/>
      <sheetName val="Mat_Tower"/>
      <sheetName val="GLP's_and_PSPC's"/>
      <sheetName val="Forecast"/>
      <sheetName val="Harga Material"/>
      <sheetName val="AHS_(2)1"/>
      <sheetName val="RAP_70_Medium1"/>
      <sheetName val="Matrix_Material1"/>
      <sheetName val="Monitoring_1"/>
      <sheetName val="Bar_70_Medium1"/>
      <sheetName val="CL_70_Medium1"/>
      <sheetName val="Bar_Pagar1"/>
      <sheetName val="RAP_70_Format_Lama1"/>
      <sheetName val="Rekap_Progress1"/>
      <sheetName val="Harga_SS1"/>
      <sheetName val="Mat_Tower1"/>
      <sheetName val="GLP's_and_PSPC's1"/>
      <sheetName val="Harga_Material"/>
      <sheetName val="ISIT  Cost summary"/>
      <sheetName val="Rekap-ME"/>
      <sheetName val="Power"/>
      <sheetName val="BidMembers"/>
      <sheetName val="Traffic KBps"/>
      <sheetName val="Tower 61 Meter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>
        <row r="8">
          <cell r="C8" t="str">
            <v>BESI SIKU</v>
          </cell>
        </row>
        <row r="9">
          <cell r="C9" t="str">
            <v>L 40 x 40 x 4 mm</v>
          </cell>
          <cell r="E9">
            <v>6</v>
          </cell>
          <cell r="F9" t="str">
            <v>m</v>
          </cell>
          <cell r="G9" t="str">
            <v>Btg</v>
          </cell>
          <cell r="H9">
            <v>14.52</v>
          </cell>
          <cell r="I9">
            <v>2.42</v>
          </cell>
          <cell r="J9">
            <v>5300</v>
          </cell>
          <cell r="K9">
            <v>76956</v>
          </cell>
          <cell r="L9">
            <v>12826</v>
          </cell>
        </row>
        <row r="10">
          <cell r="C10" t="str">
            <v>L 50 x 50 x 5 mm</v>
          </cell>
          <cell r="E10">
            <v>6</v>
          </cell>
          <cell r="F10" t="str">
            <v>m</v>
          </cell>
          <cell r="G10" t="str">
            <v>Btg</v>
          </cell>
          <cell r="H10">
            <v>22.68</v>
          </cell>
          <cell r="I10">
            <v>3.78</v>
          </cell>
          <cell r="J10">
            <v>5300</v>
          </cell>
          <cell r="K10">
            <v>120204</v>
          </cell>
          <cell r="L10">
            <v>20034</v>
          </cell>
        </row>
        <row r="11">
          <cell r="C11" t="str">
            <v>L 60 x 60 x 6 mm</v>
          </cell>
          <cell r="E11">
            <v>6</v>
          </cell>
          <cell r="F11" t="str">
            <v>m</v>
          </cell>
          <cell r="G11" t="str">
            <v>Btg</v>
          </cell>
          <cell r="H11">
            <v>32.520000000000003</v>
          </cell>
          <cell r="I11">
            <v>5.4200000000000008</v>
          </cell>
          <cell r="J11">
            <v>5300</v>
          </cell>
          <cell r="K11">
            <v>172356</v>
          </cell>
          <cell r="L11">
            <v>28726.000000000004</v>
          </cell>
        </row>
        <row r="12">
          <cell r="C12" t="str">
            <v>L 65 x 65 x 6 mm</v>
          </cell>
          <cell r="E12">
            <v>6</v>
          </cell>
          <cell r="F12" t="str">
            <v>m</v>
          </cell>
          <cell r="G12" t="str">
            <v>Btg</v>
          </cell>
          <cell r="H12">
            <v>35.46</v>
          </cell>
          <cell r="I12">
            <v>5.91</v>
          </cell>
          <cell r="J12">
            <v>5300</v>
          </cell>
          <cell r="K12">
            <v>187938</v>
          </cell>
          <cell r="L12">
            <v>31323</v>
          </cell>
        </row>
        <row r="13">
          <cell r="C13" t="str">
            <v>L 70 x 70 x 7 mm</v>
          </cell>
          <cell r="E13">
            <v>6</v>
          </cell>
          <cell r="F13" t="str">
            <v>m</v>
          </cell>
          <cell r="G13" t="str">
            <v>Btg</v>
          </cell>
          <cell r="H13">
            <v>44.28</v>
          </cell>
          <cell r="I13">
            <v>7.38</v>
          </cell>
          <cell r="J13">
            <v>5300</v>
          </cell>
          <cell r="K13">
            <v>234684</v>
          </cell>
          <cell r="L13">
            <v>39114</v>
          </cell>
        </row>
        <row r="14">
          <cell r="C14" t="str">
            <v>L 75 x 75 x 7 mm</v>
          </cell>
          <cell r="E14">
            <v>6</v>
          </cell>
          <cell r="F14" t="str">
            <v>m</v>
          </cell>
          <cell r="G14" t="str">
            <v>Btg</v>
          </cell>
          <cell r="H14">
            <v>47.64</v>
          </cell>
          <cell r="I14">
            <v>7.94</v>
          </cell>
          <cell r="J14">
            <v>5300</v>
          </cell>
          <cell r="K14">
            <v>252492</v>
          </cell>
          <cell r="L14">
            <v>42082</v>
          </cell>
        </row>
        <row r="15">
          <cell r="C15" t="str">
            <v>L 80 x 80 x 8 mm</v>
          </cell>
          <cell r="E15">
            <v>6</v>
          </cell>
          <cell r="F15" t="str">
            <v>m</v>
          </cell>
          <cell r="G15" t="str">
            <v>Btg</v>
          </cell>
          <cell r="H15">
            <v>57.96</v>
          </cell>
          <cell r="I15">
            <v>9.66</v>
          </cell>
          <cell r="J15">
            <v>5364</v>
          </cell>
          <cell r="K15">
            <v>310898</v>
          </cell>
          <cell r="L15">
            <v>51816.24</v>
          </cell>
        </row>
        <row r="16">
          <cell r="C16" t="str">
            <v>L 90 x 90 x 9 mm</v>
          </cell>
          <cell r="E16">
            <v>6</v>
          </cell>
          <cell r="F16" t="str">
            <v>m</v>
          </cell>
          <cell r="G16" t="str">
            <v>Btg</v>
          </cell>
          <cell r="H16">
            <v>73.2</v>
          </cell>
          <cell r="I16">
            <v>12.200000000000001</v>
          </cell>
          <cell r="J16">
            <v>5364</v>
          </cell>
          <cell r="K16">
            <v>392645</v>
          </cell>
          <cell r="L16">
            <v>65440.800000000003</v>
          </cell>
        </row>
        <row r="17">
          <cell r="C17" t="str">
            <v>L 100 x 100 x 10 mm</v>
          </cell>
          <cell r="E17">
            <v>12</v>
          </cell>
          <cell r="F17" t="str">
            <v>m</v>
          </cell>
          <cell r="G17" t="str">
            <v>Btg</v>
          </cell>
          <cell r="H17">
            <v>181.2</v>
          </cell>
          <cell r="I17">
            <v>15.1</v>
          </cell>
          <cell r="J17">
            <v>5450</v>
          </cell>
          <cell r="K17">
            <v>987540</v>
          </cell>
          <cell r="L17">
            <v>82295</v>
          </cell>
        </row>
        <row r="18">
          <cell r="C18" t="str">
            <v>L 120 x 120 x 12 mm</v>
          </cell>
          <cell r="E18">
            <v>12</v>
          </cell>
          <cell r="F18" t="str">
            <v>m</v>
          </cell>
          <cell r="G18" t="str">
            <v>Btg</v>
          </cell>
          <cell r="H18">
            <v>260</v>
          </cell>
          <cell r="I18">
            <v>21.666666666666668</v>
          </cell>
          <cell r="J18">
            <v>6050</v>
          </cell>
          <cell r="K18">
            <v>1573000</v>
          </cell>
          <cell r="L18">
            <v>131083.33333333334</v>
          </cell>
        </row>
        <row r="19">
          <cell r="C19" t="str">
            <v>L 125 x 125 x 12 mm</v>
          </cell>
          <cell r="E19">
            <v>12</v>
          </cell>
          <cell r="F19" t="str">
            <v>m</v>
          </cell>
          <cell r="G19" t="str">
            <v>Btg</v>
          </cell>
          <cell r="H19">
            <v>280</v>
          </cell>
          <cell r="I19">
            <v>23.333333333333332</v>
          </cell>
          <cell r="J19">
            <v>6050</v>
          </cell>
          <cell r="K19">
            <v>1694000</v>
          </cell>
          <cell r="L19">
            <v>141166.66666666666</v>
          </cell>
        </row>
        <row r="20">
          <cell r="C20" t="str">
            <v>L 130 x 130 x 12 mm</v>
          </cell>
          <cell r="E20">
            <v>12</v>
          </cell>
          <cell r="F20" t="str">
            <v>m</v>
          </cell>
          <cell r="G20" t="str">
            <v>Btg</v>
          </cell>
          <cell r="H20">
            <v>280.2</v>
          </cell>
          <cell r="I20">
            <v>23.349999999999998</v>
          </cell>
          <cell r="J20">
            <v>6050</v>
          </cell>
          <cell r="K20">
            <v>1695210</v>
          </cell>
          <cell r="L20">
            <v>141267.5</v>
          </cell>
        </row>
        <row r="21">
          <cell r="C21" t="str">
            <v>L 150 x 150 x 12 mm</v>
          </cell>
          <cell r="E21">
            <v>12</v>
          </cell>
          <cell r="F21" t="str">
            <v>m</v>
          </cell>
          <cell r="G21" t="str">
            <v>Btg</v>
          </cell>
          <cell r="H21">
            <v>328</v>
          </cell>
          <cell r="I21">
            <v>27.333333333333332</v>
          </cell>
          <cell r="J21">
            <v>6050</v>
          </cell>
          <cell r="K21">
            <v>1984400</v>
          </cell>
          <cell r="L21">
            <v>165366.66666666666</v>
          </cell>
        </row>
        <row r="22">
          <cell r="C22" t="str">
            <v>L 150 x 150 x 15 mm</v>
          </cell>
          <cell r="E22">
            <v>12</v>
          </cell>
          <cell r="F22" t="str">
            <v>m</v>
          </cell>
          <cell r="G22" t="str">
            <v>Btg</v>
          </cell>
          <cell r="H22">
            <v>404</v>
          </cell>
          <cell r="I22">
            <v>33.666666666666664</v>
          </cell>
          <cell r="J22">
            <v>6050</v>
          </cell>
          <cell r="K22">
            <v>2444200</v>
          </cell>
          <cell r="L22">
            <v>203683.33333333331</v>
          </cell>
        </row>
        <row r="23">
          <cell r="C23" t="str">
            <v>L 175 x 175 x 15 mm</v>
          </cell>
          <cell r="E23">
            <v>12</v>
          </cell>
          <cell r="F23" t="str">
            <v>m</v>
          </cell>
          <cell r="G23" t="str">
            <v>Btg</v>
          </cell>
          <cell r="H23">
            <v>475</v>
          </cell>
          <cell r="I23">
            <v>39.583333333333336</v>
          </cell>
          <cell r="J23">
            <v>7500</v>
          </cell>
          <cell r="K23">
            <v>3562500</v>
          </cell>
          <cell r="L23">
            <v>296875</v>
          </cell>
        </row>
        <row r="24">
          <cell r="C24" t="str">
            <v>L 200 x 200 x 15 mm</v>
          </cell>
          <cell r="E24">
            <v>12</v>
          </cell>
          <cell r="F24" t="str">
            <v>m</v>
          </cell>
          <cell r="G24" t="str">
            <v>Btg</v>
          </cell>
          <cell r="H24">
            <v>544</v>
          </cell>
          <cell r="I24">
            <v>45.333333333333336</v>
          </cell>
          <cell r="J24">
            <v>6450</v>
          </cell>
          <cell r="K24">
            <v>3508800</v>
          </cell>
          <cell r="L24">
            <v>292400</v>
          </cell>
        </row>
        <row r="25">
          <cell r="C25" t="str">
            <v>L 200 x 200 x 20 mm</v>
          </cell>
          <cell r="E25">
            <v>12</v>
          </cell>
          <cell r="F25" t="str">
            <v>m</v>
          </cell>
          <cell r="G25" t="str">
            <v>Btg</v>
          </cell>
          <cell r="H25">
            <v>716</v>
          </cell>
          <cell r="I25">
            <v>59.666666666666664</v>
          </cell>
          <cell r="J25">
            <v>6450</v>
          </cell>
          <cell r="K25">
            <v>4618200</v>
          </cell>
          <cell r="L25">
            <v>384850</v>
          </cell>
        </row>
        <row r="27">
          <cell r="C27" t="str">
            <v>ROUND BARS</v>
          </cell>
        </row>
        <row r="28">
          <cell r="C28" t="str">
            <v>Rod bars dia 8 mm</v>
          </cell>
          <cell r="E28">
            <v>12</v>
          </cell>
          <cell r="F28" t="str">
            <v>m</v>
          </cell>
          <cell r="G28" t="str">
            <v>Btg</v>
          </cell>
          <cell r="H28">
            <v>4.74</v>
          </cell>
          <cell r="I28">
            <v>0.39500000000000002</v>
          </cell>
          <cell r="J28">
            <v>5100</v>
          </cell>
          <cell r="K28">
            <v>24174</v>
          </cell>
          <cell r="L28">
            <v>2014.5</v>
          </cell>
        </row>
        <row r="29">
          <cell r="C29" t="str">
            <v>Rod bars dia 10 mm</v>
          </cell>
          <cell r="E29">
            <v>12</v>
          </cell>
          <cell r="F29" t="str">
            <v>m</v>
          </cell>
          <cell r="G29" t="str">
            <v>Btg</v>
          </cell>
          <cell r="H29">
            <v>7.4</v>
          </cell>
          <cell r="I29">
            <v>0.6166666666666667</v>
          </cell>
          <cell r="J29">
            <v>5100</v>
          </cell>
          <cell r="K29">
            <v>37740</v>
          </cell>
          <cell r="L29">
            <v>3145</v>
          </cell>
        </row>
        <row r="30">
          <cell r="C30" t="str">
            <v>Rod bars dia 12 mm</v>
          </cell>
          <cell r="E30">
            <v>12</v>
          </cell>
          <cell r="F30" t="str">
            <v>m</v>
          </cell>
          <cell r="G30" t="str">
            <v>Btg</v>
          </cell>
          <cell r="H30">
            <v>10.7</v>
          </cell>
          <cell r="I30">
            <v>0.89166666666666661</v>
          </cell>
          <cell r="J30">
            <v>5100</v>
          </cell>
          <cell r="K30">
            <v>54570</v>
          </cell>
          <cell r="L30">
            <v>4547.5</v>
          </cell>
        </row>
        <row r="31">
          <cell r="C31" t="str">
            <v>Rod bars dia 16 mm</v>
          </cell>
          <cell r="E31">
            <v>12</v>
          </cell>
          <cell r="F31" t="str">
            <v>m</v>
          </cell>
          <cell r="G31" t="str">
            <v>Btg</v>
          </cell>
          <cell r="H31">
            <v>19</v>
          </cell>
          <cell r="I31">
            <v>1.5833333333333333</v>
          </cell>
          <cell r="J31">
            <v>5100</v>
          </cell>
          <cell r="K31">
            <v>96900</v>
          </cell>
          <cell r="L31">
            <v>8075</v>
          </cell>
        </row>
        <row r="32">
          <cell r="C32" t="str">
            <v>Rod bars dia 19 mm</v>
          </cell>
          <cell r="E32">
            <v>12</v>
          </cell>
          <cell r="F32" t="str">
            <v>m</v>
          </cell>
          <cell r="G32" t="str">
            <v>Btg</v>
          </cell>
          <cell r="H32">
            <v>26.8</v>
          </cell>
          <cell r="I32">
            <v>2.2333333333333334</v>
          </cell>
          <cell r="J32">
            <v>5100</v>
          </cell>
          <cell r="K32">
            <v>136680</v>
          </cell>
          <cell r="L32">
            <v>11390</v>
          </cell>
        </row>
        <row r="33">
          <cell r="C33" t="str">
            <v>Rod bars dia 22 mm</v>
          </cell>
          <cell r="E33">
            <v>12</v>
          </cell>
          <cell r="F33" t="str">
            <v>m</v>
          </cell>
          <cell r="G33" t="str">
            <v>Btg</v>
          </cell>
          <cell r="H33">
            <v>35.799999999999997</v>
          </cell>
          <cell r="I33">
            <v>2.9833333333333329</v>
          </cell>
          <cell r="J33">
            <v>5100</v>
          </cell>
          <cell r="K33">
            <v>182580</v>
          </cell>
          <cell r="L33">
            <v>15214.999999999998</v>
          </cell>
        </row>
        <row r="35">
          <cell r="C35" t="str">
            <v>FLAT BARS</v>
          </cell>
        </row>
        <row r="36">
          <cell r="C36" t="str">
            <v>Flat bars 4 x 36 mm</v>
          </cell>
          <cell r="E36">
            <v>6</v>
          </cell>
          <cell r="F36" t="str">
            <v>m</v>
          </cell>
          <cell r="G36" t="str">
            <v>Btg</v>
          </cell>
          <cell r="H36">
            <v>6.78</v>
          </cell>
          <cell r="I36">
            <v>1.1300000000000001</v>
          </cell>
          <cell r="J36">
            <v>6000</v>
          </cell>
          <cell r="K36">
            <v>40680</v>
          </cell>
          <cell r="L36">
            <v>6780.0000000000009</v>
          </cell>
        </row>
        <row r="37">
          <cell r="C37" t="str">
            <v>Flat bars 4 x 40 mm</v>
          </cell>
          <cell r="E37">
            <v>6</v>
          </cell>
          <cell r="F37" t="str">
            <v>m</v>
          </cell>
          <cell r="G37" t="str">
            <v>Btg</v>
          </cell>
          <cell r="H37">
            <v>7.54</v>
          </cell>
          <cell r="I37">
            <v>1.2566666666666666</v>
          </cell>
          <cell r="J37">
            <v>6000</v>
          </cell>
          <cell r="K37">
            <v>45240</v>
          </cell>
          <cell r="L37">
            <v>7540</v>
          </cell>
        </row>
        <row r="38">
          <cell r="C38" t="str">
            <v>Flat bars 5 x 50 mm</v>
          </cell>
          <cell r="E38">
            <v>6</v>
          </cell>
          <cell r="F38" t="str">
            <v>m</v>
          </cell>
          <cell r="G38" t="str">
            <v>Btg</v>
          </cell>
          <cell r="H38">
            <v>11.77</v>
          </cell>
          <cell r="I38">
            <v>1.9616666666666667</v>
          </cell>
          <cell r="J38">
            <v>6000</v>
          </cell>
          <cell r="K38">
            <v>70620</v>
          </cell>
          <cell r="L38">
            <v>11770</v>
          </cell>
        </row>
        <row r="39">
          <cell r="C39" t="str">
            <v>Flat bars 6 x 50 mm</v>
          </cell>
          <cell r="E39">
            <v>6</v>
          </cell>
          <cell r="F39" t="str">
            <v>m</v>
          </cell>
          <cell r="G39" t="str">
            <v>Btg</v>
          </cell>
          <cell r="H39">
            <v>14.15</v>
          </cell>
          <cell r="I39">
            <v>2.3583333333333334</v>
          </cell>
          <cell r="J39">
            <v>6000</v>
          </cell>
          <cell r="K39">
            <v>84900</v>
          </cell>
          <cell r="L39">
            <v>14150</v>
          </cell>
        </row>
        <row r="41">
          <cell r="C41" t="str">
            <v>PIPA SCHEDULE 40 / ASTM A53-A (harga pertanggal 08 Februari 2005)</v>
          </cell>
          <cell r="K41" t="str">
            <v>PPI</v>
          </cell>
        </row>
        <row r="42">
          <cell r="C42" t="str">
            <v>Pipa dia. 1/2", t= 2.8 mm ( Sch 40 )</v>
          </cell>
          <cell r="E42">
            <v>6</v>
          </cell>
          <cell r="F42" t="str">
            <v>m</v>
          </cell>
          <cell r="G42" t="str">
            <v>Btg</v>
          </cell>
          <cell r="H42">
            <v>7.86</v>
          </cell>
          <cell r="I42">
            <v>1.31</v>
          </cell>
          <cell r="J42">
            <v>12595.419847328243</v>
          </cell>
          <cell r="K42">
            <v>99000</v>
          </cell>
          <cell r="L42">
            <v>16500</v>
          </cell>
        </row>
        <row r="43">
          <cell r="C43" t="str">
            <v>Pipa dia. 3/4", t= 2.9 mm ( Sch 40 )</v>
          </cell>
          <cell r="E43">
            <v>6</v>
          </cell>
          <cell r="F43" t="str">
            <v>m</v>
          </cell>
          <cell r="G43" t="str">
            <v>Btg</v>
          </cell>
          <cell r="H43">
            <v>10.44</v>
          </cell>
          <cell r="I43">
            <v>1.74</v>
          </cell>
          <cell r="J43">
            <v>11973.180076628352</v>
          </cell>
          <cell r="K43">
            <v>125000</v>
          </cell>
          <cell r="L43">
            <v>20833.333333333332</v>
          </cell>
        </row>
        <row r="44">
          <cell r="C44" t="str">
            <v>Pipa dia. 1", t= 3.4 mm ( SCH 40 )</v>
          </cell>
          <cell r="E44">
            <v>6</v>
          </cell>
          <cell r="F44" t="str">
            <v>m</v>
          </cell>
          <cell r="G44" t="str">
            <v>Btg</v>
          </cell>
          <cell r="H44">
            <v>15.42</v>
          </cell>
          <cell r="I44">
            <v>2.57</v>
          </cell>
          <cell r="J44">
            <v>12581.063553826199</v>
          </cell>
          <cell r="K44">
            <v>194000</v>
          </cell>
          <cell r="L44">
            <v>32333.333333333332</v>
          </cell>
        </row>
        <row r="45">
          <cell r="C45" t="str">
            <v>Pipa dia. 1 1/4", t= 3.6 mm ( SCH 40 )</v>
          </cell>
          <cell r="E45">
            <v>6</v>
          </cell>
          <cell r="F45" t="str">
            <v>m</v>
          </cell>
          <cell r="G45" t="str">
            <v>Btg</v>
          </cell>
          <cell r="H45">
            <v>20.82</v>
          </cell>
          <cell r="I45">
            <v>3.47</v>
          </cell>
          <cell r="J45">
            <v>11791.546589817483</v>
          </cell>
          <cell r="K45">
            <v>245500</v>
          </cell>
          <cell r="L45">
            <v>40916.666666666664</v>
          </cell>
        </row>
        <row r="46">
          <cell r="C46" t="str">
            <v>Pipa dia. 1 1/2", t= 3.7 mm ( SCH 40 )</v>
          </cell>
          <cell r="E46">
            <v>6</v>
          </cell>
          <cell r="F46" t="str">
            <v>m</v>
          </cell>
          <cell r="G46" t="str">
            <v>Btg</v>
          </cell>
          <cell r="H46">
            <v>24.6</v>
          </cell>
          <cell r="I46">
            <v>4.1000000000000005</v>
          </cell>
          <cell r="J46">
            <v>12703.252032520324</v>
          </cell>
          <cell r="K46">
            <v>312500</v>
          </cell>
          <cell r="L46">
            <v>52083.333333333336</v>
          </cell>
        </row>
        <row r="47">
          <cell r="C47" t="str">
            <v>Pipa dia. 2", t= 3.9 mm ( SCH 40 )</v>
          </cell>
          <cell r="E47">
            <v>6</v>
          </cell>
          <cell r="F47" t="str">
            <v>m</v>
          </cell>
          <cell r="G47" t="str">
            <v>Btg</v>
          </cell>
          <cell r="H47">
            <v>32.64</v>
          </cell>
          <cell r="I47">
            <v>5.44</v>
          </cell>
          <cell r="J47">
            <v>12454.044117647059</v>
          </cell>
          <cell r="K47">
            <v>406500</v>
          </cell>
          <cell r="L47">
            <v>67750.000000000015</v>
          </cell>
        </row>
        <row r="48">
          <cell r="C48" t="str">
            <v>Pipa dia. 2 1/2", t= 5.2 mm ( SCH 40 )</v>
          </cell>
          <cell r="E48">
            <v>6</v>
          </cell>
          <cell r="F48" t="str">
            <v>m</v>
          </cell>
          <cell r="G48" t="str">
            <v>Btg</v>
          </cell>
          <cell r="H48">
            <v>54.72</v>
          </cell>
          <cell r="I48">
            <v>9.1199999999999992</v>
          </cell>
          <cell r="J48">
            <v>11805.555555555557</v>
          </cell>
          <cell r="K48">
            <v>646000</v>
          </cell>
          <cell r="L48">
            <v>107666.66666666667</v>
          </cell>
        </row>
        <row r="49">
          <cell r="C49" t="str">
            <v>Pipa dia. 3", t= 5.5 mm ( SCH 40 )</v>
          </cell>
          <cell r="E49">
            <v>6</v>
          </cell>
          <cell r="F49" t="str">
            <v>m</v>
          </cell>
          <cell r="G49" t="str">
            <v>Btg</v>
          </cell>
          <cell r="H49">
            <v>67.8</v>
          </cell>
          <cell r="I49">
            <v>11.299999999999999</v>
          </cell>
          <cell r="J49">
            <v>12898.230088495577</v>
          </cell>
          <cell r="K49">
            <v>874500</v>
          </cell>
          <cell r="L49">
            <v>145750</v>
          </cell>
        </row>
        <row r="50">
          <cell r="C50" t="str">
            <v>Pipa dia. 4", t= 6 mm ( SCH 40 )</v>
          </cell>
          <cell r="E50">
            <v>6</v>
          </cell>
          <cell r="F50" t="str">
            <v>m</v>
          </cell>
          <cell r="G50" t="str">
            <v>Btg</v>
          </cell>
          <cell r="H50">
            <v>96</v>
          </cell>
          <cell r="I50">
            <v>16</v>
          </cell>
          <cell r="J50">
            <v>12979.166666666666</v>
          </cell>
          <cell r="K50">
            <v>1246000</v>
          </cell>
          <cell r="L50">
            <v>207666.66666666666</v>
          </cell>
        </row>
        <row r="51">
          <cell r="C51" t="str">
            <v>Pipa dia. 5", t= 6.6 mm ( SCH 40 )</v>
          </cell>
          <cell r="E51">
            <v>6</v>
          </cell>
          <cell r="F51" t="str">
            <v>m</v>
          </cell>
          <cell r="G51" t="str">
            <v>Btg</v>
          </cell>
          <cell r="H51">
            <v>130.19999999999999</v>
          </cell>
          <cell r="I51">
            <v>21.7</v>
          </cell>
          <cell r="J51">
            <v>12953.1490015361</v>
          </cell>
          <cell r="K51">
            <v>1686500</v>
          </cell>
          <cell r="L51">
            <v>281083.33333333337</v>
          </cell>
        </row>
        <row r="52">
          <cell r="C52" t="str">
            <v>Pipa dia. 6", t= 7.1 mm ( SCH 40 )</v>
          </cell>
          <cell r="E52">
            <v>6</v>
          </cell>
          <cell r="F52" t="str">
            <v>m</v>
          </cell>
          <cell r="G52" t="str">
            <v>Btg</v>
          </cell>
          <cell r="H52">
            <v>166.2</v>
          </cell>
          <cell r="I52">
            <v>27.7</v>
          </cell>
          <cell r="J52">
            <v>13179.903730445247</v>
          </cell>
          <cell r="K52">
            <v>2190500</v>
          </cell>
          <cell r="L52">
            <v>365083.33333333331</v>
          </cell>
        </row>
        <row r="53">
          <cell r="C53" t="str">
            <v>Pipa dia. 8", t= 8.2 mm ( SCH 40 )</v>
          </cell>
          <cell r="E53">
            <v>6</v>
          </cell>
          <cell r="F53" t="str">
            <v>m</v>
          </cell>
          <cell r="G53" t="str">
            <v>Btg</v>
          </cell>
          <cell r="H53">
            <v>252.6</v>
          </cell>
          <cell r="I53">
            <v>42.1</v>
          </cell>
          <cell r="J53">
            <v>13058.194774346794</v>
          </cell>
          <cell r="K53">
            <v>3298500</v>
          </cell>
          <cell r="L53">
            <v>549750</v>
          </cell>
        </row>
        <row r="54">
          <cell r="C54" t="str">
            <v>Pipa dia. 10", t= 9.3 mm ( SCH 40 )</v>
          </cell>
          <cell r="E54">
            <v>6</v>
          </cell>
          <cell r="F54" t="str">
            <v>m</v>
          </cell>
          <cell r="G54" t="str">
            <v>Btg</v>
          </cell>
          <cell r="H54">
            <v>355.2</v>
          </cell>
          <cell r="I54">
            <v>59.199999999999996</v>
          </cell>
          <cell r="J54">
            <v>0</v>
          </cell>
          <cell r="K54">
            <v>0</v>
          </cell>
          <cell r="L54">
            <v>0</v>
          </cell>
        </row>
        <row r="55">
          <cell r="C55" t="str">
            <v>Pipa dia. 12", t= 10.3 mm ( SCH 40 )</v>
          </cell>
          <cell r="E55">
            <v>6</v>
          </cell>
          <cell r="F55" t="str">
            <v>m</v>
          </cell>
          <cell r="G55" t="str">
            <v>Btg</v>
          </cell>
          <cell r="H55">
            <v>469.8</v>
          </cell>
          <cell r="I55">
            <v>78.3</v>
          </cell>
          <cell r="J55">
            <v>0</v>
          </cell>
          <cell r="K55">
            <v>0</v>
          </cell>
          <cell r="L55">
            <v>0</v>
          </cell>
        </row>
        <row r="56">
          <cell r="C56" t="str">
            <v>Pipa dia. 14", t= 11.1 mm ( SCH 40 )</v>
          </cell>
          <cell r="E56">
            <v>6</v>
          </cell>
          <cell r="F56" t="str">
            <v>m</v>
          </cell>
          <cell r="G56" t="str">
            <v>Btg</v>
          </cell>
          <cell r="H56">
            <v>565.79999999999995</v>
          </cell>
          <cell r="I56">
            <v>94.3</v>
          </cell>
          <cell r="J56">
            <v>0</v>
          </cell>
          <cell r="K56">
            <v>0</v>
          </cell>
          <cell r="L56">
            <v>0</v>
          </cell>
        </row>
        <row r="57">
          <cell r="C57" t="str">
            <v>Pipa dia. 16", t= 12.7 mm ( SCH 40 )</v>
          </cell>
          <cell r="E57">
            <v>6</v>
          </cell>
          <cell r="F57" t="str">
            <v>m</v>
          </cell>
          <cell r="G57" t="str">
            <v>Btg</v>
          </cell>
          <cell r="H57">
            <v>738</v>
          </cell>
          <cell r="I57">
            <v>123</v>
          </cell>
          <cell r="J57">
            <v>0</v>
          </cell>
          <cell r="K57">
            <v>0</v>
          </cell>
          <cell r="L57">
            <v>0</v>
          </cell>
        </row>
        <row r="59">
          <cell r="C59" t="str">
            <v>PIPA SCHEDULE 80</v>
          </cell>
        </row>
        <row r="60">
          <cell r="C60" t="str">
            <v>Pipa dia. 1/2" ( Sch 80 )</v>
          </cell>
          <cell r="E60">
            <v>6</v>
          </cell>
          <cell r="F60" t="str">
            <v>m</v>
          </cell>
          <cell r="G60" t="str">
            <v>Btg</v>
          </cell>
          <cell r="H60">
            <v>9.84</v>
          </cell>
          <cell r="I60">
            <v>1.64</v>
          </cell>
          <cell r="K60">
            <v>0</v>
          </cell>
          <cell r="L60">
            <v>0</v>
          </cell>
        </row>
        <row r="61">
          <cell r="C61" t="str">
            <v>Pipa dia. 3/4" ( Sch 80 )</v>
          </cell>
          <cell r="E61">
            <v>6</v>
          </cell>
          <cell r="F61" t="str">
            <v>m</v>
          </cell>
          <cell r="G61" t="str">
            <v>Btg</v>
          </cell>
          <cell r="H61">
            <v>13.44</v>
          </cell>
          <cell r="I61">
            <v>2.2399999999999998</v>
          </cell>
          <cell r="J61">
            <v>0</v>
          </cell>
          <cell r="K61">
            <v>0</v>
          </cell>
          <cell r="L61">
            <v>0</v>
          </cell>
        </row>
        <row r="62">
          <cell r="C62" t="str">
            <v>Pipa dia. 1" ( Sch 80 )</v>
          </cell>
          <cell r="E62">
            <v>6</v>
          </cell>
          <cell r="F62" t="str">
            <v>m</v>
          </cell>
          <cell r="G62" t="str">
            <v>Btg</v>
          </cell>
          <cell r="H62">
            <v>19.62</v>
          </cell>
          <cell r="I62">
            <v>3.27</v>
          </cell>
          <cell r="J62">
            <v>0</v>
          </cell>
          <cell r="K62">
            <v>0</v>
          </cell>
          <cell r="L62">
            <v>0</v>
          </cell>
        </row>
        <row r="63">
          <cell r="C63" t="str">
            <v>Pipa dia. 1 1/4" ( Sch 80 )</v>
          </cell>
          <cell r="E63">
            <v>6</v>
          </cell>
          <cell r="F63" t="str">
            <v>m</v>
          </cell>
          <cell r="G63" t="str">
            <v>Btg</v>
          </cell>
          <cell r="H63">
            <v>27.42</v>
          </cell>
          <cell r="I63">
            <v>4.57</v>
          </cell>
          <cell r="J63">
            <v>0</v>
          </cell>
          <cell r="K63">
            <v>0</v>
          </cell>
          <cell r="L63">
            <v>0</v>
          </cell>
        </row>
        <row r="64">
          <cell r="C64" t="str">
            <v>Pipa dia. 1 1/2" ( Sch 80 )</v>
          </cell>
          <cell r="E64">
            <v>6</v>
          </cell>
          <cell r="F64" t="str">
            <v>m</v>
          </cell>
          <cell r="G64" t="str">
            <v>Btg</v>
          </cell>
          <cell r="H64">
            <v>32.82</v>
          </cell>
          <cell r="I64">
            <v>5.47</v>
          </cell>
          <cell r="J64">
            <v>0</v>
          </cell>
          <cell r="K64">
            <v>0</v>
          </cell>
          <cell r="L64">
            <v>0</v>
          </cell>
        </row>
        <row r="65">
          <cell r="C65" t="str">
            <v>Pipa dia. 2" ( Sch 80 )</v>
          </cell>
          <cell r="E65">
            <v>6</v>
          </cell>
          <cell r="F65" t="str">
            <v>m</v>
          </cell>
          <cell r="G65" t="str">
            <v>Btg</v>
          </cell>
          <cell r="H65">
            <v>44.76</v>
          </cell>
          <cell r="I65">
            <v>7.46</v>
          </cell>
          <cell r="J65">
            <v>0</v>
          </cell>
          <cell r="K65">
            <v>0</v>
          </cell>
          <cell r="L65">
            <v>0</v>
          </cell>
        </row>
        <row r="66">
          <cell r="C66" t="str">
            <v>Pipa dia. 2 1/2" ( Sch 80 )</v>
          </cell>
          <cell r="E66">
            <v>6</v>
          </cell>
          <cell r="F66" t="str">
            <v>m</v>
          </cell>
          <cell r="G66" t="str">
            <v>Btg</v>
          </cell>
          <cell r="H66">
            <v>72</v>
          </cell>
          <cell r="I66">
            <v>12</v>
          </cell>
          <cell r="J66">
            <v>0</v>
          </cell>
          <cell r="K66">
            <v>0</v>
          </cell>
          <cell r="L66">
            <v>0</v>
          </cell>
        </row>
        <row r="67">
          <cell r="C67" t="str">
            <v>Pipa dia. 3" ( Sch 80 )</v>
          </cell>
          <cell r="E67">
            <v>6</v>
          </cell>
          <cell r="F67" t="str">
            <v>m</v>
          </cell>
          <cell r="G67" t="str">
            <v>Btg</v>
          </cell>
          <cell r="H67">
            <v>91.8</v>
          </cell>
          <cell r="I67">
            <v>15.299999999999999</v>
          </cell>
          <cell r="J67">
            <v>0</v>
          </cell>
          <cell r="K67">
            <v>0</v>
          </cell>
          <cell r="L67">
            <v>0</v>
          </cell>
        </row>
        <row r="68">
          <cell r="C68" t="str">
            <v>Pipa dia. 4" ( Sch 80 )</v>
          </cell>
          <cell r="E68">
            <v>6</v>
          </cell>
          <cell r="F68" t="str">
            <v>m</v>
          </cell>
          <cell r="G68" t="str">
            <v>Btg</v>
          </cell>
          <cell r="H68">
            <v>134.4</v>
          </cell>
          <cell r="I68">
            <v>22.400000000000002</v>
          </cell>
          <cell r="J68">
            <v>0</v>
          </cell>
          <cell r="K68">
            <v>0</v>
          </cell>
          <cell r="L68">
            <v>0</v>
          </cell>
        </row>
        <row r="69">
          <cell r="C69" t="str">
            <v>Pipa dia. 5" ( Sch 80 )</v>
          </cell>
          <cell r="E69">
            <v>6</v>
          </cell>
          <cell r="F69" t="str">
            <v>m</v>
          </cell>
          <cell r="G69" t="str">
            <v>Btg</v>
          </cell>
          <cell r="H69">
            <v>183</v>
          </cell>
          <cell r="I69">
            <v>30.5</v>
          </cell>
          <cell r="J69">
            <v>0</v>
          </cell>
          <cell r="K69">
            <v>0</v>
          </cell>
          <cell r="L69">
            <v>0</v>
          </cell>
        </row>
        <row r="70">
          <cell r="C70" t="str">
            <v>Pipa dia. 6" ( Sch 80 )</v>
          </cell>
          <cell r="E70">
            <v>6</v>
          </cell>
          <cell r="F70" t="str">
            <v>m</v>
          </cell>
          <cell r="G70" t="str">
            <v>Btg</v>
          </cell>
          <cell r="H70">
            <v>250.8</v>
          </cell>
          <cell r="I70">
            <v>41.800000000000004</v>
          </cell>
          <cell r="J70">
            <v>0</v>
          </cell>
          <cell r="K70">
            <v>0</v>
          </cell>
          <cell r="L70">
            <v>0</v>
          </cell>
        </row>
        <row r="71">
          <cell r="C71" t="str">
            <v>Pipa dia. 8" ( Sch 80 )</v>
          </cell>
          <cell r="E71">
            <v>6</v>
          </cell>
          <cell r="F71" t="str">
            <v>m</v>
          </cell>
          <cell r="G71" t="str">
            <v>Btg</v>
          </cell>
          <cell r="H71">
            <v>382.8</v>
          </cell>
          <cell r="I71">
            <v>63.800000000000004</v>
          </cell>
          <cell r="J71">
            <v>0</v>
          </cell>
          <cell r="K71">
            <v>0</v>
          </cell>
          <cell r="L71">
            <v>0</v>
          </cell>
        </row>
        <row r="72">
          <cell r="C72" t="str">
            <v>Pipa dia. 9" ( Sch 80 )</v>
          </cell>
          <cell r="E72">
            <v>6</v>
          </cell>
          <cell r="F72" t="str">
            <v>m</v>
          </cell>
          <cell r="G72" t="str">
            <v>Btg</v>
          </cell>
          <cell r="H72">
            <v>563.4</v>
          </cell>
          <cell r="I72">
            <v>93.899999999999991</v>
          </cell>
          <cell r="J72">
            <v>0</v>
          </cell>
          <cell r="K72">
            <v>0</v>
          </cell>
          <cell r="L72">
            <v>0</v>
          </cell>
        </row>
        <row r="73">
          <cell r="C73" t="str">
            <v>Pipa dia. 12" ( Sch 80 )</v>
          </cell>
          <cell r="E73">
            <v>6</v>
          </cell>
          <cell r="F73" t="str">
            <v>m</v>
          </cell>
          <cell r="G73" t="str">
            <v>Btg</v>
          </cell>
          <cell r="H73">
            <v>774</v>
          </cell>
          <cell r="I73">
            <v>129</v>
          </cell>
          <cell r="J73">
            <v>0</v>
          </cell>
          <cell r="K73">
            <v>0</v>
          </cell>
          <cell r="L73">
            <v>0</v>
          </cell>
        </row>
        <row r="74">
          <cell r="C74" t="str">
            <v>Pipa dia. 14" ( Sch 80 )</v>
          </cell>
          <cell r="E74">
            <v>6</v>
          </cell>
          <cell r="F74" t="str">
            <v>m</v>
          </cell>
          <cell r="G74" t="str">
            <v>Btg</v>
          </cell>
          <cell r="H74">
            <v>948</v>
          </cell>
          <cell r="I74">
            <v>158</v>
          </cell>
          <cell r="J74">
            <v>0</v>
          </cell>
          <cell r="K74">
            <v>0</v>
          </cell>
          <cell r="L74">
            <v>0</v>
          </cell>
        </row>
        <row r="75">
          <cell r="C75" t="str">
            <v>Pipa dia. 16" ( Sch 80 )</v>
          </cell>
          <cell r="E75">
            <v>6</v>
          </cell>
          <cell r="F75" t="str">
            <v>m</v>
          </cell>
          <cell r="G75" t="str">
            <v>Btg</v>
          </cell>
          <cell r="H75">
            <v>1218</v>
          </cell>
          <cell r="I75">
            <v>203</v>
          </cell>
          <cell r="J75">
            <v>0</v>
          </cell>
          <cell r="K75">
            <v>0</v>
          </cell>
          <cell r="L75">
            <v>0</v>
          </cell>
        </row>
        <row r="77">
          <cell r="C77" t="str">
            <v>PIPA HITAM MEDIUM (harga pertanggal 10 September 2004)</v>
          </cell>
        </row>
        <row r="78">
          <cell r="C78" t="str">
            <v>Pipa dia. 1/2" ( Med )</v>
          </cell>
          <cell r="E78">
            <v>6</v>
          </cell>
          <cell r="F78" t="str">
            <v>m</v>
          </cell>
          <cell r="G78" t="str">
            <v>Btg</v>
          </cell>
          <cell r="H78">
            <v>7.32</v>
          </cell>
          <cell r="I78">
            <v>1.22</v>
          </cell>
          <cell r="J78">
            <v>8469.9453551912557</v>
          </cell>
          <cell r="K78">
            <v>61999.999999999993</v>
          </cell>
          <cell r="L78">
            <v>10333.333333333332</v>
          </cell>
        </row>
        <row r="79">
          <cell r="C79" t="str">
            <v>Pipa dia. 3/4" ( Med )</v>
          </cell>
          <cell r="E79">
            <v>6</v>
          </cell>
          <cell r="F79" t="str">
            <v>m</v>
          </cell>
          <cell r="G79" t="str">
            <v>Btg</v>
          </cell>
          <cell r="H79">
            <v>9.48</v>
          </cell>
          <cell r="I79">
            <v>1.58</v>
          </cell>
          <cell r="J79">
            <v>8199.0794016110467</v>
          </cell>
          <cell r="K79">
            <v>77727.272727272721</v>
          </cell>
          <cell r="L79">
            <v>12954.545454545454</v>
          </cell>
        </row>
        <row r="80">
          <cell r="C80" t="str">
            <v>Pipa dia. 1" ( Med )</v>
          </cell>
          <cell r="E80">
            <v>6</v>
          </cell>
          <cell r="F80" t="str">
            <v>m</v>
          </cell>
          <cell r="G80" t="str">
            <v>Btg</v>
          </cell>
          <cell r="H80">
            <v>14.64</v>
          </cell>
          <cell r="I80">
            <v>2.44</v>
          </cell>
          <cell r="J80">
            <v>8438.8971684053631</v>
          </cell>
          <cell r="K80">
            <v>123545.45454545453</v>
          </cell>
          <cell r="L80">
            <v>20590.909090909085</v>
          </cell>
        </row>
        <row r="81">
          <cell r="C81" t="str">
            <v>Pipa dia. 1 1/4" ( Med )</v>
          </cell>
          <cell r="E81">
            <v>6</v>
          </cell>
          <cell r="F81" t="str">
            <v>m</v>
          </cell>
          <cell r="G81" t="str">
            <v>Btg</v>
          </cell>
          <cell r="H81">
            <v>18.84</v>
          </cell>
          <cell r="I81">
            <v>3.14</v>
          </cell>
          <cell r="J81">
            <v>8420.1891526732288</v>
          </cell>
          <cell r="K81">
            <v>158636.36363636362</v>
          </cell>
          <cell r="L81">
            <v>26439.39393939394</v>
          </cell>
        </row>
        <row r="82">
          <cell r="C82" t="str">
            <v>Pipa dia. 1 1/2" ( Med )</v>
          </cell>
          <cell r="E82">
            <v>6</v>
          </cell>
          <cell r="F82" t="str">
            <v>m</v>
          </cell>
          <cell r="G82" t="str">
            <v>Btg</v>
          </cell>
          <cell r="H82">
            <v>21.72</v>
          </cell>
          <cell r="I82">
            <v>3.6199999999999997</v>
          </cell>
          <cell r="J82">
            <v>8266.3653105642061</v>
          </cell>
          <cell r="K82">
            <v>179545.45454545453</v>
          </cell>
          <cell r="L82">
            <v>29924.242424242424</v>
          </cell>
        </row>
        <row r="83">
          <cell r="C83" t="str">
            <v>Pipa dia. 2" ( Med )</v>
          </cell>
          <cell r="E83">
            <v>6</v>
          </cell>
          <cell r="F83" t="str">
            <v>m</v>
          </cell>
          <cell r="G83" t="str">
            <v>Btg</v>
          </cell>
          <cell r="H83">
            <v>30.54</v>
          </cell>
          <cell r="I83">
            <v>5.09</v>
          </cell>
          <cell r="J83">
            <v>8183.0088706316601</v>
          </cell>
          <cell r="K83">
            <v>249909.09090909088</v>
          </cell>
          <cell r="L83">
            <v>41651.515151515152</v>
          </cell>
        </row>
        <row r="84">
          <cell r="C84" t="str">
            <v>Pipa dia. 2 1/2" ( Med )</v>
          </cell>
          <cell r="E84">
            <v>6</v>
          </cell>
          <cell r="F84" t="str">
            <v>m</v>
          </cell>
          <cell r="G84" t="str">
            <v>Btg</v>
          </cell>
          <cell r="H84">
            <v>39.119999999999997</v>
          </cell>
          <cell r="I84">
            <v>6.52</v>
          </cell>
          <cell r="J84">
            <v>8249.6746607176046</v>
          </cell>
          <cell r="K84">
            <v>322727.27272727271</v>
          </cell>
          <cell r="L84">
            <v>53787.878787878777</v>
          </cell>
        </row>
        <row r="85">
          <cell r="C85" t="str">
            <v>Pipa dia. 3" ( Med )</v>
          </cell>
          <cell r="E85">
            <v>6</v>
          </cell>
          <cell r="F85" t="str">
            <v>m</v>
          </cell>
          <cell r="G85" t="str">
            <v>Btg</v>
          </cell>
          <cell r="H85">
            <v>50.82</v>
          </cell>
          <cell r="I85">
            <v>8.4700000000000006</v>
          </cell>
          <cell r="J85">
            <v>8497.0126292440327</v>
          </cell>
          <cell r="K85">
            <v>431818.18181818177</v>
          </cell>
          <cell r="L85">
            <v>71969.696969696961</v>
          </cell>
        </row>
        <row r="86">
          <cell r="C86" t="str">
            <v>Pipa dia. 4" ( Med )</v>
          </cell>
          <cell r="E86">
            <v>6</v>
          </cell>
          <cell r="F86" t="str">
            <v>m</v>
          </cell>
          <cell r="G86" t="str">
            <v>Btg</v>
          </cell>
          <cell r="H86">
            <v>72.599999999999994</v>
          </cell>
          <cell r="I86">
            <v>12.1</v>
          </cell>
          <cell r="J86">
            <v>8915.6023040320561</v>
          </cell>
          <cell r="K86">
            <v>647272.72727272718</v>
          </cell>
          <cell r="L86">
            <v>107878.78787878787</v>
          </cell>
        </row>
        <row r="87">
          <cell r="C87" t="str">
            <v>Pipa dia. 5" ( Med )</v>
          </cell>
          <cell r="E87">
            <v>6</v>
          </cell>
          <cell r="F87" t="str">
            <v>m</v>
          </cell>
          <cell r="G87" t="str">
            <v>Btg</v>
          </cell>
          <cell r="H87">
            <v>97.2</v>
          </cell>
          <cell r="I87">
            <v>16.2</v>
          </cell>
          <cell r="J87">
            <v>8417.5084175084157</v>
          </cell>
          <cell r="K87">
            <v>818181.81818181812</v>
          </cell>
          <cell r="L87">
            <v>136363.63636363632</v>
          </cell>
        </row>
        <row r="88">
          <cell r="C88" t="str">
            <v>Pipa dia. 6" ( Med )</v>
          </cell>
          <cell r="E88">
            <v>6</v>
          </cell>
          <cell r="F88" t="str">
            <v>m</v>
          </cell>
          <cell r="G88" t="str">
            <v>Btg</v>
          </cell>
          <cell r="H88">
            <v>115.2</v>
          </cell>
          <cell r="I88">
            <v>19.2</v>
          </cell>
          <cell r="J88">
            <v>8333.3333333333321</v>
          </cell>
          <cell r="K88">
            <v>959999.99999999988</v>
          </cell>
          <cell r="L88">
            <v>159999.99999999997</v>
          </cell>
        </row>
        <row r="90">
          <cell r="C90" t="str">
            <v>PIPA GALVANIS MEDIUM (harga pertanggal 10 September 2004)</v>
          </cell>
        </row>
        <row r="91">
          <cell r="C91" t="str">
            <v>Pipa dia. 1/2" ( GLV )</v>
          </cell>
          <cell r="E91">
            <v>6</v>
          </cell>
          <cell r="F91" t="str">
            <v>m</v>
          </cell>
          <cell r="G91" t="str">
            <v>Btg</v>
          </cell>
          <cell r="H91">
            <v>7.32</v>
          </cell>
          <cell r="I91">
            <v>1.22</v>
          </cell>
          <cell r="J91">
            <v>10556.383507203178</v>
          </cell>
          <cell r="K91">
            <v>77272.727272727265</v>
          </cell>
          <cell r="L91">
            <v>12878.787878787876</v>
          </cell>
        </row>
        <row r="92">
          <cell r="C92" t="str">
            <v>Pipa dia. 3/4" ( GLV )</v>
          </cell>
          <cell r="E92">
            <v>6</v>
          </cell>
          <cell r="F92" t="str">
            <v>m</v>
          </cell>
          <cell r="G92" t="str">
            <v>Btg</v>
          </cell>
          <cell r="H92">
            <v>9.48</v>
          </cell>
          <cell r="I92">
            <v>1.58</v>
          </cell>
          <cell r="J92">
            <v>10164.940544687379</v>
          </cell>
          <cell r="K92">
            <v>96363.636363636353</v>
          </cell>
          <cell r="L92">
            <v>16060.60606060606</v>
          </cell>
        </row>
        <row r="93">
          <cell r="C93" t="str">
            <v>Pipa dia. 1" ( GLV )</v>
          </cell>
          <cell r="E93">
            <v>6</v>
          </cell>
          <cell r="F93" t="str">
            <v>m</v>
          </cell>
          <cell r="G93" t="str">
            <v>Btg</v>
          </cell>
          <cell r="H93">
            <v>14.64</v>
          </cell>
          <cell r="I93">
            <v>2.44</v>
          </cell>
          <cell r="J93">
            <v>10742.672627918528</v>
          </cell>
          <cell r="K93">
            <v>157272.72727272726</v>
          </cell>
          <cell r="L93">
            <v>26212.121212121208</v>
          </cell>
        </row>
        <row r="94">
          <cell r="C94" t="str">
            <v>Pipa dia. 1 1/4" ( GLV )</v>
          </cell>
          <cell r="E94">
            <v>6</v>
          </cell>
          <cell r="F94" t="str">
            <v>m</v>
          </cell>
          <cell r="G94" t="str">
            <v>Btg</v>
          </cell>
          <cell r="H94">
            <v>18.84</v>
          </cell>
          <cell r="I94">
            <v>3.14</v>
          </cell>
          <cell r="J94">
            <v>11098.243582320016</v>
          </cell>
          <cell r="K94">
            <v>209090.90909090909</v>
          </cell>
          <cell r="L94">
            <v>34848.484848484848</v>
          </cell>
        </row>
        <row r="95">
          <cell r="C95" t="str">
            <v>Pipa dia. 1 1/2" ( GLV )</v>
          </cell>
          <cell r="E95">
            <v>6</v>
          </cell>
          <cell r="F95" t="str">
            <v>m</v>
          </cell>
          <cell r="G95" t="str">
            <v>Btg</v>
          </cell>
          <cell r="H95">
            <v>21.72</v>
          </cell>
          <cell r="I95">
            <v>3.6199999999999997</v>
          </cell>
          <cell r="J95">
            <v>11070.65126402143</v>
          </cell>
          <cell r="K95">
            <v>240454.54545454544</v>
          </cell>
          <cell r="L95">
            <v>40075.757575757569</v>
          </cell>
        </row>
        <row r="96">
          <cell r="C96" t="str">
            <v>Pipa dia. 2" ( GLV )</v>
          </cell>
          <cell r="E96">
            <v>6</v>
          </cell>
          <cell r="F96" t="str">
            <v>m</v>
          </cell>
          <cell r="G96" t="str">
            <v>Btg</v>
          </cell>
          <cell r="H96">
            <v>30.54</v>
          </cell>
          <cell r="I96">
            <v>5.09</v>
          </cell>
          <cell r="J96">
            <v>10061.320473894148</v>
          </cell>
          <cell r="K96">
            <v>307272.72727272724</v>
          </cell>
          <cell r="L96">
            <v>51212.121212121208</v>
          </cell>
        </row>
        <row r="97">
          <cell r="C97" t="str">
            <v>Pipa dia. 2 1/2" ( GLV )</v>
          </cell>
          <cell r="E97">
            <v>6</v>
          </cell>
          <cell r="F97" t="str">
            <v>m</v>
          </cell>
          <cell r="G97" t="str">
            <v>Btg</v>
          </cell>
          <cell r="H97">
            <v>39.119999999999997</v>
          </cell>
          <cell r="I97">
            <v>6.52</v>
          </cell>
          <cell r="J97">
            <v>11293.920803123256</v>
          </cell>
          <cell r="K97">
            <v>441818.18181818177</v>
          </cell>
          <cell r="L97">
            <v>73636.363636363618</v>
          </cell>
        </row>
        <row r="98">
          <cell r="C98" t="str">
            <v>Pipa dia. 3" ( GLV )</v>
          </cell>
          <cell r="E98">
            <v>6</v>
          </cell>
          <cell r="F98" t="str">
            <v>m</v>
          </cell>
          <cell r="G98" t="str">
            <v>Btg</v>
          </cell>
          <cell r="H98">
            <v>50.82</v>
          </cell>
          <cell r="I98">
            <v>8.4700000000000006</v>
          </cell>
          <cell r="J98">
            <v>11162.391327680582</v>
          </cell>
          <cell r="K98">
            <v>567272.72727272718</v>
          </cell>
          <cell r="L98">
            <v>94545.45454545453</v>
          </cell>
        </row>
        <row r="99">
          <cell r="C99" t="str">
            <v>Pipa dia. 4" ( GLV )</v>
          </cell>
          <cell r="E99">
            <v>6</v>
          </cell>
          <cell r="F99" t="str">
            <v>m</v>
          </cell>
          <cell r="G99" t="str">
            <v>Btg</v>
          </cell>
          <cell r="H99">
            <v>72.599999999999994</v>
          </cell>
          <cell r="I99">
            <v>12.1</v>
          </cell>
          <cell r="J99">
            <v>10712.496869521663</v>
          </cell>
          <cell r="K99">
            <v>777727.27272727271</v>
          </cell>
          <cell r="L99">
            <v>129621.21212121211</v>
          </cell>
        </row>
        <row r="100">
          <cell r="C100" t="str">
            <v>Pipa dia. 5" ( GLV )</v>
          </cell>
          <cell r="E100">
            <v>6</v>
          </cell>
          <cell r="F100" t="str">
            <v>m</v>
          </cell>
          <cell r="G100" t="str">
            <v>Btg</v>
          </cell>
          <cell r="H100">
            <v>97.2</v>
          </cell>
          <cell r="I100">
            <v>16.2</v>
          </cell>
          <cell r="J100">
            <v>10288.065843621398</v>
          </cell>
          <cell r="K100">
            <v>999999.99999999988</v>
          </cell>
          <cell r="L100">
            <v>166666.66666666663</v>
          </cell>
        </row>
        <row r="101">
          <cell r="C101" t="str">
            <v>Pipa dia. 6" ( GLV )</v>
          </cell>
          <cell r="E101">
            <v>6</v>
          </cell>
          <cell r="F101" t="str">
            <v>m</v>
          </cell>
          <cell r="G101" t="str">
            <v>Btg</v>
          </cell>
          <cell r="H101">
            <v>115.2</v>
          </cell>
          <cell r="I101">
            <v>19.2</v>
          </cell>
          <cell r="J101">
            <v>10495.580808080807</v>
          </cell>
          <cell r="K101">
            <v>1209090.9090909089</v>
          </cell>
          <cell r="L101">
            <v>201515.15151515149</v>
          </cell>
        </row>
        <row r="103">
          <cell r="C103" t="str">
            <v>PIPA SS400</v>
          </cell>
        </row>
        <row r="104">
          <cell r="C104" t="str">
            <v>Pipa dia. 1/2" ( SS400 )</v>
          </cell>
          <cell r="E104">
            <v>6</v>
          </cell>
          <cell r="F104" t="str">
            <v>m</v>
          </cell>
          <cell r="G104" t="str">
            <v>Btg</v>
          </cell>
          <cell r="I104">
            <v>0</v>
          </cell>
          <cell r="K104">
            <v>0</v>
          </cell>
          <cell r="L104">
            <v>0</v>
          </cell>
        </row>
        <row r="105">
          <cell r="C105" t="str">
            <v>Pipa dia. 3/4" ( SS400 )</v>
          </cell>
          <cell r="E105">
            <v>6</v>
          </cell>
          <cell r="F105" t="str">
            <v>m</v>
          </cell>
          <cell r="G105" t="str">
            <v>Btg</v>
          </cell>
          <cell r="I105">
            <v>0</v>
          </cell>
          <cell r="K105">
            <v>0</v>
          </cell>
          <cell r="L105">
            <v>0</v>
          </cell>
        </row>
        <row r="106">
          <cell r="C106" t="str">
            <v>Pipa dia. 1" ( SS400 )</v>
          </cell>
          <cell r="E106">
            <v>6</v>
          </cell>
          <cell r="F106" t="str">
            <v>m</v>
          </cell>
          <cell r="G106" t="str">
            <v>Btg</v>
          </cell>
          <cell r="I106">
            <v>0</v>
          </cell>
          <cell r="K106">
            <v>0</v>
          </cell>
          <cell r="L106">
            <v>0</v>
          </cell>
        </row>
        <row r="107">
          <cell r="C107" t="str">
            <v>Pipa dia. 1 1/4" ( SS400 )</v>
          </cell>
          <cell r="E107">
            <v>6</v>
          </cell>
          <cell r="F107" t="str">
            <v>m</v>
          </cell>
          <cell r="G107" t="str">
            <v>Btg</v>
          </cell>
          <cell r="H107">
            <v>18.75</v>
          </cell>
          <cell r="I107">
            <v>3.125</v>
          </cell>
          <cell r="J107">
            <v>8251.4666666666672</v>
          </cell>
          <cell r="K107">
            <v>154715</v>
          </cell>
          <cell r="L107">
            <v>25785.833333333336</v>
          </cell>
        </row>
        <row r="108">
          <cell r="C108" t="str">
            <v>Pipa dia. 1 1/2" ( SS400 )</v>
          </cell>
          <cell r="E108">
            <v>6</v>
          </cell>
          <cell r="F108" t="str">
            <v>m</v>
          </cell>
          <cell r="G108" t="str">
            <v>Btg</v>
          </cell>
          <cell r="H108">
            <v>21.35</v>
          </cell>
          <cell r="I108">
            <v>3.5583333333333336</v>
          </cell>
          <cell r="J108">
            <v>11909.728337236535</v>
          </cell>
          <cell r="K108">
            <v>254272.7</v>
          </cell>
          <cell r="L108">
            <v>42378.78333333334</v>
          </cell>
        </row>
        <row r="109">
          <cell r="C109" t="str">
            <v>Pipa dia. 2" ( SS400 )</v>
          </cell>
          <cell r="E109">
            <v>6</v>
          </cell>
          <cell r="F109" t="str">
            <v>m</v>
          </cell>
          <cell r="G109" t="str">
            <v>Btg</v>
          </cell>
          <cell r="H109">
            <v>26.99</v>
          </cell>
          <cell r="I109">
            <v>4.4983333333333331</v>
          </cell>
          <cell r="J109">
            <v>9216.9321971100417</v>
          </cell>
          <cell r="K109">
            <v>248765</v>
          </cell>
          <cell r="L109">
            <v>41460.833333333336</v>
          </cell>
        </row>
        <row r="110">
          <cell r="C110" t="str">
            <v>Pipa dia. 2 1/2" ( SS400 )</v>
          </cell>
          <cell r="E110">
            <v>6</v>
          </cell>
          <cell r="F110" t="str">
            <v>m</v>
          </cell>
          <cell r="G110" t="str">
            <v>Btg</v>
          </cell>
          <cell r="H110">
            <v>38.619999999999997</v>
          </cell>
          <cell r="I110">
            <v>6.4366666666666665</v>
          </cell>
          <cell r="J110">
            <v>14060.072501294668</v>
          </cell>
          <cell r="K110">
            <v>543000</v>
          </cell>
          <cell r="L110">
            <v>90500.000000000015</v>
          </cell>
        </row>
        <row r="111">
          <cell r="C111" t="str">
            <v>Pipa dia. 4" ( SS400 )</v>
          </cell>
          <cell r="E111">
            <v>6</v>
          </cell>
          <cell r="F111" t="str">
            <v>m</v>
          </cell>
          <cell r="G111" t="str">
            <v>Btg</v>
          </cell>
          <cell r="H111">
            <v>58.97</v>
          </cell>
          <cell r="I111">
            <v>9.8283333333333331</v>
          </cell>
          <cell r="J111">
            <v>10227.74292012888</v>
          </cell>
          <cell r="K111">
            <v>603130</v>
          </cell>
          <cell r="L111">
            <v>100521.66666666667</v>
          </cell>
        </row>
        <row r="112">
          <cell r="C112" t="str">
            <v>Pipa dia. 5" ( SS400 )</v>
          </cell>
          <cell r="E112">
            <v>6</v>
          </cell>
          <cell r="F112" t="str">
            <v>m</v>
          </cell>
          <cell r="G112" t="str">
            <v>Btg</v>
          </cell>
          <cell r="H112">
            <v>91.08</v>
          </cell>
          <cell r="I112">
            <v>15.18</v>
          </cell>
          <cell r="J112">
            <v>8250.6038647342993</v>
          </cell>
          <cell r="K112">
            <v>751465</v>
          </cell>
          <cell r="L112">
            <v>125244.16666666666</v>
          </cell>
        </row>
        <row r="113">
          <cell r="C113" t="str">
            <v>Pipa dia. 6" ( SS400 )</v>
          </cell>
          <cell r="E113">
            <v>6</v>
          </cell>
          <cell r="F113" t="str">
            <v>m</v>
          </cell>
          <cell r="G113" t="str">
            <v>Btg</v>
          </cell>
          <cell r="H113">
            <v>109.05</v>
          </cell>
          <cell r="I113">
            <v>18.175000000000001</v>
          </cell>
          <cell r="J113">
            <v>8251.2608895002286</v>
          </cell>
          <cell r="K113">
            <v>899800</v>
          </cell>
          <cell r="L113">
            <v>149966.66666666666</v>
          </cell>
        </row>
        <row r="114">
          <cell r="C114" t="str">
            <v>Pipa dia. 7" ( SS400 )</v>
          </cell>
          <cell r="E114">
            <v>6</v>
          </cell>
          <cell r="F114" t="str">
            <v>m</v>
          </cell>
          <cell r="G114" t="str">
            <v>Btg</v>
          </cell>
          <cell r="H114">
            <v>132.03</v>
          </cell>
          <cell r="I114">
            <v>22.004999999999999</v>
          </cell>
          <cell r="J114">
            <v>8249.7917140043937</v>
          </cell>
          <cell r="K114">
            <v>1089220</v>
          </cell>
          <cell r="L114">
            <v>181536.66666666669</v>
          </cell>
        </row>
        <row r="115">
          <cell r="C115" t="str">
            <v>Pipa dia. 8" ( SS400 )</v>
          </cell>
          <cell r="E115">
            <v>6</v>
          </cell>
          <cell r="F115" t="str">
            <v>m</v>
          </cell>
          <cell r="G115" t="str">
            <v>Btg</v>
          </cell>
          <cell r="H115">
            <v>152.19999999999999</v>
          </cell>
          <cell r="I115">
            <v>25.366666666666664</v>
          </cell>
          <cell r="J115">
            <v>10835.216819973719</v>
          </cell>
          <cell r="K115">
            <v>1649120</v>
          </cell>
          <cell r="L115">
            <v>274853.33333333331</v>
          </cell>
        </row>
        <row r="116">
          <cell r="C116" t="str">
            <v>Pipa dia. 10" ( SS400 )</v>
          </cell>
          <cell r="E116">
            <v>6</v>
          </cell>
          <cell r="F116" t="str">
            <v>m</v>
          </cell>
          <cell r="G116" t="str">
            <v>Btg</v>
          </cell>
          <cell r="H116">
            <v>180.48</v>
          </cell>
          <cell r="I116">
            <v>30.08</v>
          </cell>
          <cell r="J116">
            <v>11452.238475177306</v>
          </cell>
          <cell r="K116">
            <v>2066900</v>
          </cell>
          <cell r="L116">
            <v>344483.33333333337</v>
          </cell>
        </row>
        <row r="117">
          <cell r="C117" t="str">
            <v>Pipa dia. 12" ( SS400 )</v>
          </cell>
          <cell r="E117">
            <v>6</v>
          </cell>
          <cell r="F117" t="str">
            <v>m</v>
          </cell>
          <cell r="G117" t="str">
            <v>Btg</v>
          </cell>
          <cell r="H117">
            <v>282.22000000000003</v>
          </cell>
          <cell r="I117">
            <v>47.036666666666669</v>
          </cell>
          <cell r="J117">
            <v>0</v>
          </cell>
          <cell r="K117">
            <v>0</v>
          </cell>
          <cell r="L117">
            <v>0</v>
          </cell>
        </row>
        <row r="119">
          <cell r="C119" t="str">
            <v>PELAT M/S</v>
          </cell>
        </row>
        <row r="120">
          <cell r="C120" t="str">
            <v>Pelat M/s tebal 2 mm</v>
          </cell>
          <cell r="E120">
            <v>2.88</v>
          </cell>
          <cell r="F120" t="str">
            <v>m2</v>
          </cell>
          <cell r="G120" t="str">
            <v>Lbr</v>
          </cell>
          <cell r="H120">
            <v>46.7</v>
          </cell>
          <cell r="I120">
            <v>16.215277777777779</v>
          </cell>
          <cell r="J120">
            <v>6590.9089935760167</v>
          </cell>
          <cell r="K120">
            <v>307796</v>
          </cell>
          <cell r="L120">
            <v>106873.42013888889</v>
          </cell>
        </row>
        <row r="121">
          <cell r="C121" t="str">
            <v>Pelat M/s tebal 3 mm</v>
          </cell>
          <cell r="E121">
            <v>2.88</v>
          </cell>
          <cell r="F121" t="str">
            <v>m2</v>
          </cell>
          <cell r="G121" t="str">
            <v>Lbr</v>
          </cell>
          <cell r="H121">
            <v>70</v>
          </cell>
          <cell r="I121">
            <v>24.305555555555557</v>
          </cell>
          <cell r="J121">
            <v>6590.9089935760167</v>
          </cell>
          <cell r="K121">
            <v>461364</v>
          </cell>
          <cell r="L121">
            <v>160195.70470497262</v>
          </cell>
        </row>
        <row r="122">
          <cell r="C122" t="str">
            <v>Pelat M/s tebal 4 mm</v>
          </cell>
          <cell r="E122">
            <v>2.88</v>
          </cell>
          <cell r="F122" t="str">
            <v>m2</v>
          </cell>
          <cell r="G122" t="str">
            <v>Lbr</v>
          </cell>
          <cell r="H122">
            <v>93.5</v>
          </cell>
          <cell r="I122">
            <v>32.465277777777779</v>
          </cell>
          <cell r="J122">
            <v>6590.9089935760167</v>
          </cell>
          <cell r="K122">
            <v>616250</v>
          </cell>
          <cell r="L122">
            <v>213975.69128449916</v>
          </cell>
        </row>
        <row r="123">
          <cell r="C123" t="str">
            <v>Pelat M/s tebal 5 mm</v>
          </cell>
          <cell r="E123">
            <v>2.88</v>
          </cell>
          <cell r="F123" t="str">
            <v>m2</v>
          </cell>
          <cell r="G123" t="str">
            <v>Lbr</v>
          </cell>
          <cell r="H123" t="str">
            <v/>
          </cell>
          <cell r="I123" t="e">
            <v>#VALUE!</v>
          </cell>
          <cell r="J123">
            <v>6590.9089935760167</v>
          </cell>
          <cell r="K123" t="e">
            <v>#VALUE!</v>
          </cell>
          <cell r="L123" t="e">
            <v>#VALUE!</v>
          </cell>
        </row>
        <row r="124">
          <cell r="C124" t="str">
            <v>Pelat M/s tebal 6 mm</v>
          </cell>
          <cell r="E124">
            <v>2.88</v>
          </cell>
          <cell r="F124" t="str">
            <v>m2</v>
          </cell>
          <cell r="G124" t="str">
            <v>Lbr</v>
          </cell>
          <cell r="H124">
            <v>140</v>
          </cell>
          <cell r="I124">
            <v>48.611111111111114</v>
          </cell>
          <cell r="J124">
            <v>6545.4544999999998</v>
          </cell>
          <cell r="K124">
            <v>916364</v>
          </cell>
          <cell r="L124">
            <v>318181.81597222225</v>
          </cell>
        </row>
        <row r="125">
          <cell r="C125" t="str">
            <v>Pelat M/s tebal 8 mm</v>
          </cell>
          <cell r="E125">
            <v>2.88</v>
          </cell>
          <cell r="F125" t="str">
            <v>m2</v>
          </cell>
          <cell r="G125" t="str">
            <v>Lbr</v>
          </cell>
          <cell r="H125">
            <v>187</v>
          </cell>
          <cell r="I125">
            <v>64.930555555555557</v>
          </cell>
          <cell r="J125">
            <v>6545.4544999999998</v>
          </cell>
          <cell r="K125">
            <v>1224000</v>
          </cell>
          <cell r="L125">
            <v>424999.99704861111</v>
          </cell>
        </row>
        <row r="126">
          <cell r="C126" t="str">
            <v>Pelat M/s tebal 10 mm</v>
          </cell>
          <cell r="E126">
            <v>2.88</v>
          </cell>
          <cell r="F126" t="str">
            <v>m2</v>
          </cell>
          <cell r="G126" t="str">
            <v>Lbr</v>
          </cell>
          <cell r="H126">
            <v>233.3</v>
          </cell>
          <cell r="I126">
            <v>81.006944444444457</v>
          </cell>
          <cell r="J126">
            <v>6545.4544999999998</v>
          </cell>
          <cell r="K126">
            <v>1527055</v>
          </cell>
          <cell r="L126">
            <v>530227.26904513896</v>
          </cell>
        </row>
        <row r="127">
          <cell r="C127" t="str">
            <v>Pelat M/s tebal 12 mm</v>
          </cell>
          <cell r="E127">
            <v>2.88</v>
          </cell>
          <cell r="F127" t="str">
            <v>m2</v>
          </cell>
          <cell r="G127" t="str">
            <v>Lbr</v>
          </cell>
          <cell r="H127">
            <v>280</v>
          </cell>
          <cell r="I127">
            <v>97.222222222222229</v>
          </cell>
          <cell r="J127">
            <v>6545.4544999999998</v>
          </cell>
          <cell r="K127">
            <v>1832728</v>
          </cell>
          <cell r="L127">
            <v>636363.6319444445</v>
          </cell>
        </row>
        <row r="128">
          <cell r="C128" t="str">
            <v>Pelat M/s tebal 15 mm</v>
          </cell>
          <cell r="E128">
            <v>2.88</v>
          </cell>
          <cell r="F128" t="str">
            <v>m2</v>
          </cell>
          <cell r="G128" t="str">
            <v>Lbr</v>
          </cell>
          <cell r="H128">
            <v>350</v>
          </cell>
          <cell r="I128">
            <v>121.52777777777779</v>
          </cell>
          <cell r="J128">
            <v>6545.4544999999998</v>
          </cell>
          <cell r="K128">
            <v>2290910</v>
          </cell>
          <cell r="L128">
            <v>795454.53993055562</v>
          </cell>
        </row>
        <row r="129">
          <cell r="C129" t="str">
            <v>Pelat M/s tebal 16 mm</v>
          </cell>
          <cell r="E129">
            <v>2.88</v>
          </cell>
          <cell r="F129" t="str">
            <v>m2</v>
          </cell>
          <cell r="G129" t="str">
            <v>Lbr</v>
          </cell>
          <cell r="H129">
            <v>373</v>
          </cell>
          <cell r="I129">
            <v>129.51388888888889</v>
          </cell>
          <cell r="J129">
            <v>6545.4544999999998</v>
          </cell>
          <cell r="K129">
            <v>2441455</v>
          </cell>
          <cell r="L129">
            <v>847727.26684027771</v>
          </cell>
        </row>
        <row r="130">
          <cell r="C130" t="str">
            <v>Pelat M/s tebal 19 mm</v>
          </cell>
          <cell r="E130">
            <v>2.88</v>
          </cell>
          <cell r="F130" t="str">
            <v>m2</v>
          </cell>
          <cell r="G130" t="str">
            <v>Lbr</v>
          </cell>
          <cell r="H130">
            <v>443</v>
          </cell>
          <cell r="I130">
            <v>153.81944444444446</v>
          </cell>
          <cell r="J130">
            <v>6545.4544999999998</v>
          </cell>
          <cell r="K130">
            <v>2899637</v>
          </cell>
          <cell r="L130">
            <v>1006818.1748263889</v>
          </cell>
        </row>
        <row r="131">
          <cell r="C131" t="str">
            <v>Pelat M/s tebal 20 mm</v>
          </cell>
          <cell r="E131">
            <v>2.88</v>
          </cell>
          <cell r="F131" t="str">
            <v>m2</v>
          </cell>
          <cell r="G131" t="str">
            <v>Lbr</v>
          </cell>
          <cell r="H131">
            <v>467</v>
          </cell>
          <cell r="I131">
            <v>162.15277777777777</v>
          </cell>
          <cell r="J131">
            <v>6545.4544999999998</v>
          </cell>
          <cell r="K131">
            <v>3056728</v>
          </cell>
          <cell r="L131">
            <v>1061363.6289930556</v>
          </cell>
        </row>
        <row r="132">
          <cell r="C132" t="str">
            <v>Pelat M/s tebal 22 mm</v>
          </cell>
          <cell r="E132">
            <v>2.88</v>
          </cell>
          <cell r="F132" t="str">
            <v>m2</v>
          </cell>
          <cell r="G132" t="str">
            <v>Lbr</v>
          </cell>
          <cell r="H132">
            <v>513</v>
          </cell>
          <cell r="I132">
            <v>178.125</v>
          </cell>
          <cell r="J132">
            <v>6545.4544999999998</v>
          </cell>
          <cell r="K132">
            <v>3357819</v>
          </cell>
          <cell r="L132">
            <v>1165909.0828125</v>
          </cell>
        </row>
        <row r="133">
          <cell r="C133" t="str">
            <v>Pelat M/s tebal 25 mm</v>
          </cell>
          <cell r="E133">
            <v>2.88</v>
          </cell>
          <cell r="F133" t="str">
            <v>m2</v>
          </cell>
          <cell r="G133" t="str">
            <v>Lbr</v>
          </cell>
          <cell r="H133">
            <v>583</v>
          </cell>
          <cell r="I133">
            <v>202.43055555555557</v>
          </cell>
          <cell r="J133">
            <v>6545.4544999999998</v>
          </cell>
          <cell r="K133">
            <v>3816000</v>
          </cell>
          <cell r="L133">
            <v>1324999.9907986112</v>
          </cell>
        </row>
        <row r="135">
          <cell r="C135" t="str">
            <v>PELAT BORDES</v>
          </cell>
        </row>
        <row r="136">
          <cell r="C136" t="str">
            <v>Pelat Bordes 3,2 mm</v>
          </cell>
          <cell r="E136">
            <v>2.88</v>
          </cell>
          <cell r="F136" t="str">
            <v>m2</v>
          </cell>
          <cell r="G136" t="str">
            <v>Lbr</v>
          </cell>
          <cell r="H136">
            <v>79.599999999999994</v>
          </cell>
          <cell r="I136">
            <v>27.638888888888889</v>
          </cell>
          <cell r="J136">
            <v>6106.7395728643214</v>
          </cell>
          <cell r="K136">
            <v>486096.47</v>
          </cell>
          <cell r="L136">
            <v>168783.49652777778</v>
          </cell>
        </row>
        <row r="138">
          <cell r="C138" t="str">
            <v>PELAT EXPANDED</v>
          </cell>
        </row>
        <row r="139">
          <cell r="C139" t="str">
            <v>Pelat Expanded tebal 5 mm</v>
          </cell>
          <cell r="E139">
            <v>2.88</v>
          </cell>
          <cell r="F139" t="str">
            <v>m2</v>
          </cell>
          <cell r="G139" t="str">
            <v>Lbr</v>
          </cell>
          <cell r="H139">
            <v>60</v>
          </cell>
          <cell r="I139">
            <v>20.833333333333336</v>
          </cell>
          <cell r="J139">
            <v>6286</v>
          </cell>
          <cell r="K139">
            <v>377160</v>
          </cell>
          <cell r="L139">
            <v>130958.33333333334</v>
          </cell>
        </row>
        <row r="142">
          <cell r="C142" t="str">
            <v>BOLTS HTB 8.8</v>
          </cell>
        </row>
        <row r="144">
          <cell r="C144" t="str">
            <v>Bolt and Nuts M10-20 mm</v>
          </cell>
          <cell r="E144">
            <v>1</v>
          </cell>
          <cell r="F144" t="str">
            <v>Bh</v>
          </cell>
          <cell r="G144" t="str">
            <v>Bh</v>
          </cell>
          <cell r="H144">
            <v>0.04</v>
          </cell>
          <cell r="I144">
            <v>0.04</v>
          </cell>
          <cell r="K144">
            <v>648.70000000000005</v>
          </cell>
          <cell r="L144">
            <v>649</v>
          </cell>
        </row>
        <row r="145">
          <cell r="C145" t="str">
            <v>Bolt and Nuts M10-25 mm</v>
          </cell>
          <cell r="E145">
            <v>1</v>
          </cell>
          <cell r="F145" t="str">
            <v>Bh</v>
          </cell>
          <cell r="G145" t="str">
            <v>Bh</v>
          </cell>
          <cell r="H145">
            <v>4.3000000000000003E-2</v>
          </cell>
          <cell r="I145">
            <v>4.3000000000000003E-2</v>
          </cell>
          <cell r="K145">
            <v>687.7</v>
          </cell>
          <cell r="L145">
            <v>688</v>
          </cell>
        </row>
        <row r="146">
          <cell r="C146" t="str">
            <v>Bolt and Nuts M10-30 mm</v>
          </cell>
          <cell r="E146">
            <v>1</v>
          </cell>
          <cell r="F146" t="str">
            <v>Bh</v>
          </cell>
          <cell r="G146" t="str">
            <v>Bh</v>
          </cell>
          <cell r="H146">
            <v>4.6000000000000006E-2</v>
          </cell>
          <cell r="I146">
            <v>4.6000000000000006E-2</v>
          </cell>
          <cell r="K146">
            <v>720.2</v>
          </cell>
          <cell r="L146">
            <v>721</v>
          </cell>
        </row>
        <row r="147">
          <cell r="C147" t="str">
            <v>Bolt and Nuts M10-35 mm</v>
          </cell>
          <cell r="E147">
            <v>1</v>
          </cell>
          <cell r="F147" t="str">
            <v>Bh</v>
          </cell>
          <cell r="G147" t="str">
            <v>Bh</v>
          </cell>
          <cell r="H147">
            <v>4.9000000000000009E-2</v>
          </cell>
          <cell r="I147">
            <v>4.9000000000000009E-2</v>
          </cell>
          <cell r="K147">
            <v>752.7</v>
          </cell>
          <cell r="L147">
            <v>753</v>
          </cell>
        </row>
        <row r="148">
          <cell r="C148" t="str">
            <v>Bolt and Nuts M10-40 mm</v>
          </cell>
          <cell r="E148">
            <v>1</v>
          </cell>
          <cell r="F148" t="str">
            <v>Bh</v>
          </cell>
          <cell r="G148" t="str">
            <v>Bh</v>
          </cell>
          <cell r="H148">
            <v>5.2000000000000011E-2</v>
          </cell>
          <cell r="I148">
            <v>5.2000000000000011E-2</v>
          </cell>
          <cell r="K148">
            <v>785.2</v>
          </cell>
          <cell r="L148">
            <v>786</v>
          </cell>
        </row>
        <row r="149">
          <cell r="C149" t="str">
            <v>Bolt and Nuts M10-45 mm</v>
          </cell>
          <cell r="E149">
            <v>1</v>
          </cell>
          <cell r="F149" t="str">
            <v>Bh</v>
          </cell>
          <cell r="G149" t="str">
            <v>Bh</v>
          </cell>
          <cell r="H149">
            <v>5.5000000000000014E-2</v>
          </cell>
          <cell r="I149">
            <v>5.5000000000000014E-2</v>
          </cell>
          <cell r="K149">
            <v>837.2</v>
          </cell>
          <cell r="L149">
            <v>838</v>
          </cell>
        </row>
        <row r="150">
          <cell r="C150" t="str">
            <v>Bolt and Nuts M10-50 mm</v>
          </cell>
          <cell r="E150">
            <v>1</v>
          </cell>
          <cell r="F150" t="str">
            <v>Bh</v>
          </cell>
          <cell r="G150" t="str">
            <v>Bh</v>
          </cell>
          <cell r="H150">
            <v>5.8000000000000017E-2</v>
          </cell>
          <cell r="I150">
            <v>5.8000000000000017E-2</v>
          </cell>
          <cell r="K150">
            <v>895.7</v>
          </cell>
          <cell r="L150">
            <v>896</v>
          </cell>
        </row>
        <row r="151">
          <cell r="C151" t="str">
            <v>Bolt and Nuts M10-55 mm</v>
          </cell>
          <cell r="E151">
            <v>1</v>
          </cell>
          <cell r="F151" t="str">
            <v>Bh</v>
          </cell>
          <cell r="G151" t="str">
            <v>Bh</v>
          </cell>
          <cell r="H151">
            <v>6.1000000000000019E-2</v>
          </cell>
          <cell r="I151">
            <v>6.1000000000000019E-2</v>
          </cell>
          <cell r="K151">
            <v>921.7</v>
          </cell>
          <cell r="L151">
            <v>922</v>
          </cell>
        </row>
        <row r="152">
          <cell r="C152" t="str">
            <v>Bolt and Nuts M10-60 mm</v>
          </cell>
          <cell r="E152">
            <v>1</v>
          </cell>
          <cell r="F152" t="str">
            <v>Bh</v>
          </cell>
          <cell r="G152" t="str">
            <v>Bh</v>
          </cell>
          <cell r="H152">
            <v>6.4000000000000015E-2</v>
          </cell>
          <cell r="I152">
            <v>6.4000000000000015E-2</v>
          </cell>
          <cell r="K152">
            <v>986.7</v>
          </cell>
          <cell r="L152">
            <v>987</v>
          </cell>
        </row>
        <row r="153">
          <cell r="C153" t="str">
            <v>Bolt and Nuts M10-65 mm</v>
          </cell>
          <cell r="E153">
            <v>1</v>
          </cell>
          <cell r="F153" t="str">
            <v>Bh</v>
          </cell>
          <cell r="G153" t="str">
            <v>Bh</v>
          </cell>
          <cell r="H153">
            <v>6.7000000000000018E-2</v>
          </cell>
          <cell r="I153">
            <v>6.7000000000000018E-2</v>
          </cell>
          <cell r="K153">
            <v>1032.2</v>
          </cell>
          <cell r="L153">
            <v>1033</v>
          </cell>
        </row>
        <row r="154">
          <cell r="C154" t="str">
            <v>Bolt and Nuts M10-70 mm</v>
          </cell>
          <cell r="E154">
            <v>1</v>
          </cell>
          <cell r="F154" t="str">
            <v>Bh</v>
          </cell>
          <cell r="G154" t="str">
            <v>Bh</v>
          </cell>
          <cell r="H154">
            <v>7.0000000000000021E-2</v>
          </cell>
          <cell r="I154">
            <v>7.0000000000000021E-2</v>
          </cell>
          <cell r="K154">
            <v>1097.2</v>
          </cell>
          <cell r="L154">
            <v>1098</v>
          </cell>
        </row>
        <row r="156">
          <cell r="C156" t="str">
            <v>Bolt and Nuts M12-20 mm</v>
          </cell>
          <cell r="E156">
            <v>1</v>
          </cell>
          <cell r="F156" t="str">
            <v>Bh</v>
          </cell>
          <cell r="G156" t="str">
            <v>Bh</v>
          </cell>
          <cell r="H156">
            <v>6.2E-2</v>
          </cell>
          <cell r="I156">
            <v>6.2E-2</v>
          </cell>
          <cell r="K156">
            <v>869.05</v>
          </cell>
          <cell r="L156">
            <v>870</v>
          </cell>
        </row>
        <row r="157">
          <cell r="C157" t="str">
            <v>Bolt and Nuts M12-25 mm</v>
          </cell>
          <cell r="E157">
            <v>1</v>
          </cell>
          <cell r="F157" t="str">
            <v>Bh</v>
          </cell>
          <cell r="G157" t="str">
            <v>Bh</v>
          </cell>
          <cell r="H157">
            <v>6.5000000000000002E-2</v>
          </cell>
          <cell r="I157">
            <v>6.5000000000000002E-2</v>
          </cell>
          <cell r="K157">
            <v>882.05</v>
          </cell>
          <cell r="L157">
            <v>883</v>
          </cell>
        </row>
        <row r="158">
          <cell r="C158" t="str">
            <v>Bolt and Nuts M12-30 mm</v>
          </cell>
          <cell r="E158">
            <v>1</v>
          </cell>
          <cell r="F158" t="str">
            <v>Bh</v>
          </cell>
          <cell r="G158" t="str">
            <v>Bh</v>
          </cell>
          <cell r="H158">
            <v>6.9000000000000006E-2</v>
          </cell>
          <cell r="I158">
            <v>6.9000000000000006E-2</v>
          </cell>
          <cell r="K158">
            <v>940.55</v>
          </cell>
          <cell r="L158">
            <v>941</v>
          </cell>
        </row>
        <row r="159">
          <cell r="C159" t="str">
            <v>Bolt and Nuts M12-35 mm</v>
          </cell>
          <cell r="E159">
            <v>1</v>
          </cell>
          <cell r="F159" t="str">
            <v>Bh</v>
          </cell>
          <cell r="G159" t="str">
            <v>Bh</v>
          </cell>
          <cell r="H159">
            <v>7.3000000000000009E-2</v>
          </cell>
          <cell r="I159">
            <v>7.3000000000000009E-2</v>
          </cell>
          <cell r="K159">
            <v>986.05</v>
          </cell>
          <cell r="L159">
            <v>987</v>
          </cell>
        </row>
        <row r="160">
          <cell r="C160" t="str">
            <v>Bolt and Nuts M12-40 mm</v>
          </cell>
          <cell r="E160">
            <v>1</v>
          </cell>
          <cell r="F160" t="str">
            <v>Bh</v>
          </cell>
          <cell r="G160" t="str">
            <v>Bh</v>
          </cell>
          <cell r="H160">
            <v>7.8000000000000014E-2</v>
          </cell>
          <cell r="I160">
            <v>7.8000000000000014E-2</v>
          </cell>
          <cell r="K160">
            <v>1051.05</v>
          </cell>
          <cell r="L160">
            <v>1052</v>
          </cell>
        </row>
        <row r="161">
          <cell r="C161" t="str">
            <v>Bolt and Nuts M12-45 mm</v>
          </cell>
          <cell r="E161">
            <v>1</v>
          </cell>
          <cell r="F161" t="str">
            <v>Bh</v>
          </cell>
          <cell r="G161" t="str">
            <v>Bh</v>
          </cell>
          <cell r="H161">
            <v>8.199999999999999E-2</v>
          </cell>
          <cell r="I161">
            <v>8.199999999999999E-2</v>
          </cell>
          <cell r="K161">
            <v>1116.05</v>
          </cell>
          <cell r="L161">
            <v>1117</v>
          </cell>
        </row>
        <row r="162">
          <cell r="C162" t="str">
            <v>Bolt and Nuts M12-50 mm</v>
          </cell>
          <cell r="E162">
            <v>1</v>
          </cell>
          <cell r="F162" t="str">
            <v>Bh</v>
          </cell>
          <cell r="G162" t="str">
            <v>Bh</v>
          </cell>
          <cell r="H162">
            <v>8.6999999999999994E-2</v>
          </cell>
          <cell r="I162">
            <v>8.6999999999999994E-2</v>
          </cell>
          <cell r="K162">
            <v>1174.55</v>
          </cell>
          <cell r="L162">
            <v>1175</v>
          </cell>
        </row>
        <row r="163">
          <cell r="C163" t="str">
            <v>Bolt and Nuts M12-55 mm</v>
          </cell>
          <cell r="E163">
            <v>1</v>
          </cell>
          <cell r="F163" t="str">
            <v>Bh</v>
          </cell>
          <cell r="G163" t="str">
            <v>Bh</v>
          </cell>
          <cell r="H163">
            <v>9.1000000000000011E-2</v>
          </cell>
          <cell r="I163">
            <v>9.1000000000000011E-2</v>
          </cell>
          <cell r="K163">
            <v>1239.55</v>
          </cell>
          <cell r="L163">
            <v>1240</v>
          </cell>
        </row>
        <row r="164">
          <cell r="C164" t="str">
            <v>Bolt and Nuts M12-60 mm</v>
          </cell>
          <cell r="E164">
            <v>1</v>
          </cell>
          <cell r="F164" t="str">
            <v>Bh</v>
          </cell>
          <cell r="G164" t="str">
            <v>Bh</v>
          </cell>
          <cell r="H164">
            <v>9.6000000000000016E-2</v>
          </cell>
          <cell r="I164">
            <v>9.6000000000000016E-2</v>
          </cell>
          <cell r="K164">
            <v>1298.05</v>
          </cell>
          <cell r="L164">
            <v>1299</v>
          </cell>
        </row>
        <row r="165">
          <cell r="C165" t="str">
            <v>Bolt and Nuts M12-65 mm</v>
          </cell>
          <cell r="E165">
            <v>1</v>
          </cell>
          <cell r="F165" t="str">
            <v>Bh</v>
          </cell>
          <cell r="G165" t="str">
            <v>Bh</v>
          </cell>
          <cell r="H165">
            <v>0.1</v>
          </cell>
          <cell r="I165">
            <v>0.1</v>
          </cell>
          <cell r="K165">
            <v>1363.05</v>
          </cell>
          <cell r="L165">
            <v>1364</v>
          </cell>
        </row>
        <row r="166">
          <cell r="C166" t="str">
            <v>Bolt and Nuts M12-70 mm</v>
          </cell>
          <cell r="E166">
            <v>1</v>
          </cell>
          <cell r="F166" t="str">
            <v>Bh</v>
          </cell>
          <cell r="G166" t="str">
            <v>Bh</v>
          </cell>
          <cell r="H166">
            <v>0.10400000000000001</v>
          </cell>
          <cell r="I166">
            <v>0.10400000000000001</v>
          </cell>
          <cell r="K166">
            <v>1421.55</v>
          </cell>
          <cell r="L166">
            <v>1422</v>
          </cell>
        </row>
        <row r="167">
          <cell r="C167" t="str">
            <v>Bolt and Nuts M12-75 mm</v>
          </cell>
          <cell r="E167">
            <v>1</v>
          </cell>
          <cell r="F167" t="str">
            <v>Bh</v>
          </cell>
          <cell r="G167" t="str">
            <v>Bh</v>
          </cell>
          <cell r="H167">
            <v>0.109</v>
          </cell>
          <cell r="I167">
            <v>0.109</v>
          </cell>
          <cell r="K167">
            <v>1486.55</v>
          </cell>
          <cell r="L167">
            <v>1487</v>
          </cell>
        </row>
        <row r="168">
          <cell r="C168" t="str">
            <v>Bolt and Nuts M12-80 mm</v>
          </cell>
          <cell r="E168">
            <v>1</v>
          </cell>
          <cell r="F168" t="str">
            <v>Bh</v>
          </cell>
          <cell r="G168" t="str">
            <v>Bh</v>
          </cell>
          <cell r="H168">
            <v>0.113</v>
          </cell>
          <cell r="I168">
            <v>0.113</v>
          </cell>
          <cell r="K168">
            <v>1551.55</v>
          </cell>
          <cell r="L168">
            <v>1552</v>
          </cell>
        </row>
        <row r="169">
          <cell r="C169" t="str">
            <v>Bolt and Nuts M12-85 mm</v>
          </cell>
          <cell r="E169">
            <v>1</v>
          </cell>
          <cell r="F169" t="str">
            <v>Bh</v>
          </cell>
          <cell r="G169" t="str">
            <v>Bh</v>
          </cell>
          <cell r="H169">
            <v>0.11700000000000001</v>
          </cell>
          <cell r="I169">
            <v>0.11700000000000001</v>
          </cell>
          <cell r="K169">
            <v>1753.05</v>
          </cell>
          <cell r="L169">
            <v>1754</v>
          </cell>
        </row>
        <row r="170">
          <cell r="C170" t="str">
            <v>Bolt and Nuts M12-90 mm</v>
          </cell>
          <cell r="E170">
            <v>1</v>
          </cell>
          <cell r="F170" t="str">
            <v>Bh</v>
          </cell>
          <cell r="G170" t="str">
            <v>Bh</v>
          </cell>
          <cell r="H170">
            <v>0.12200000000000001</v>
          </cell>
          <cell r="I170">
            <v>0.12200000000000001</v>
          </cell>
          <cell r="K170">
            <v>1766.05</v>
          </cell>
          <cell r="L170">
            <v>1767</v>
          </cell>
        </row>
        <row r="171">
          <cell r="C171" t="str">
            <v>Bolt and Nuts M12-95 mm</v>
          </cell>
          <cell r="E171">
            <v>1</v>
          </cell>
          <cell r="F171" t="str">
            <v>Bh</v>
          </cell>
          <cell r="G171" t="str">
            <v>Bh</v>
          </cell>
          <cell r="H171">
            <v>0.126</v>
          </cell>
          <cell r="I171">
            <v>0.126</v>
          </cell>
          <cell r="K171">
            <v>1876.55</v>
          </cell>
          <cell r="L171">
            <v>1877</v>
          </cell>
        </row>
        <row r="172">
          <cell r="C172" t="str">
            <v>Bolt and Nuts M12-100 mm</v>
          </cell>
          <cell r="E172">
            <v>1</v>
          </cell>
          <cell r="F172" t="str">
            <v>Bh</v>
          </cell>
          <cell r="G172" t="str">
            <v>Bh</v>
          </cell>
          <cell r="H172">
            <v>0.129</v>
          </cell>
          <cell r="I172">
            <v>0.129</v>
          </cell>
          <cell r="K172">
            <v>1889.55</v>
          </cell>
          <cell r="L172">
            <v>1890</v>
          </cell>
        </row>
        <row r="174">
          <cell r="C174" t="str">
            <v>Bolt and Nuts M16-30 mm</v>
          </cell>
          <cell r="E174">
            <v>1</v>
          </cell>
          <cell r="F174" t="str">
            <v>Bh</v>
          </cell>
          <cell r="G174" t="str">
            <v>Bh</v>
          </cell>
          <cell r="H174">
            <v>0.13300000000000001</v>
          </cell>
          <cell r="I174">
            <v>0.13300000000000001</v>
          </cell>
          <cell r="K174">
            <v>1760.85</v>
          </cell>
          <cell r="L174">
            <v>1761</v>
          </cell>
        </row>
        <row r="175">
          <cell r="C175" t="str">
            <v>Bolt and Nuts M16-35 mm</v>
          </cell>
          <cell r="E175">
            <v>1</v>
          </cell>
          <cell r="F175" t="str">
            <v>Bh</v>
          </cell>
          <cell r="G175" t="str">
            <v>Bh</v>
          </cell>
          <cell r="H175">
            <v>0.13900000000000001</v>
          </cell>
          <cell r="I175">
            <v>0.13900000000000001</v>
          </cell>
          <cell r="K175">
            <v>1851.85</v>
          </cell>
          <cell r="L175">
            <v>1852</v>
          </cell>
        </row>
        <row r="176">
          <cell r="C176" t="str">
            <v>Bolt and Nuts M16-40 mm</v>
          </cell>
          <cell r="E176">
            <v>1</v>
          </cell>
          <cell r="F176" t="str">
            <v>Bh</v>
          </cell>
          <cell r="G176" t="str">
            <v>Bh</v>
          </cell>
          <cell r="H176">
            <v>0.14599999999999999</v>
          </cell>
          <cell r="I176">
            <v>0.14599999999999999</v>
          </cell>
          <cell r="K176">
            <v>1929.85</v>
          </cell>
          <cell r="L176">
            <v>1930</v>
          </cell>
        </row>
        <row r="177">
          <cell r="C177" t="str">
            <v>Bolt and Nuts M16-45 mm</v>
          </cell>
          <cell r="E177">
            <v>1</v>
          </cell>
          <cell r="F177" t="str">
            <v>Bh</v>
          </cell>
          <cell r="G177" t="str">
            <v>Bh</v>
          </cell>
          <cell r="H177">
            <v>0.153</v>
          </cell>
          <cell r="I177">
            <v>0.153</v>
          </cell>
          <cell r="K177">
            <v>2020.85</v>
          </cell>
          <cell r="L177">
            <v>2021</v>
          </cell>
        </row>
        <row r="178">
          <cell r="C178" t="str">
            <v>Bolt and Nuts M16-50 mm</v>
          </cell>
          <cell r="E178">
            <v>1</v>
          </cell>
          <cell r="F178" t="str">
            <v>Bh</v>
          </cell>
          <cell r="G178" t="str">
            <v>Bh</v>
          </cell>
          <cell r="H178">
            <v>0.16299999999999998</v>
          </cell>
          <cell r="I178">
            <v>0.16299999999999998</v>
          </cell>
          <cell r="K178">
            <v>2111.85</v>
          </cell>
          <cell r="L178">
            <v>2112</v>
          </cell>
        </row>
        <row r="179">
          <cell r="C179" t="str">
            <v>Bolt and Nuts M16-55 mm</v>
          </cell>
          <cell r="E179">
            <v>1</v>
          </cell>
          <cell r="F179" t="str">
            <v>Bh</v>
          </cell>
          <cell r="G179" t="str">
            <v>Bh</v>
          </cell>
          <cell r="H179">
            <v>0.16600000000000001</v>
          </cell>
          <cell r="I179">
            <v>0.16600000000000001</v>
          </cell>
          <cell r="K179">
            <v>2196.35</v>
          </cell>
          <cell r="L179">
            <v>2197</v>
          </cell>
        </row>
        <row r="180">
          <cell r="C180" t="str">
            <v>Bolt and Nuts M16-60 mm</v>
          </cell>
          <cell r="E180">
            <v>1</v>
          </cell>
          <cell r="F180" t="str">
            <v>Bh</v>
          </cell>
          <cell r="G180" t="str">
            <v>Bh</v>
          </cell>
          <cell r="H180">
            <v>0.17600000000000002</v>
          </cell>
          <cell r="I180">
            <v>0.17600000000000002</v>
          </cell>
          <cell r="K180">
            <v>2306.85</v>
          </cell>
          <cell r="L180">
            <v>2307</v>
          </cell>
        </row>
        <row r="181">
          <cell r="C181" t="str">
            <v>Bolt and Nuts M16-65 mm</v>
          </cell>
          <cell r="E181">
            <v>1</v>
          </cell>
          <cell r="F181" t="str">
            <v>Bh</v>
          </cell>
          <cell r="G181" t="str">
            <v>Bh</v>
          </cell>
          <cell r="H181">
            <v>0.18600000000000003</v>
          </cell>
          <cell r="I181">
            <v>0.18600000000000003</v>
          </cell>
          <cell r="K181">
            <v>2436.85</v>
          </cell>
          <cell r="L181">
            <v>2437</v>
          </cell>
        </row>
        <row r="182">
          <cell r="C182" t="str">
            <v>Bolt and Nuts M16-70 mm</v>
          </cell>
          <cell r="E182">
            <v>1</v>
          </cell>
          <cell r="F182" t="str">
            <v>Bh</v>
          </cell>
          <cell r="G182" t="str">
            <v>Bh</v>
          </cell>
          <cell r="H182">
            <v>0.19600000000000001</v>
          </cell>
          <cell r="I182">
            <v>0.19600000000000001</v>
          </cell>
          <cell r="K182">
            <v>2527.85</v>
          </cell>
          <cell r="L182">
            <v>2528</v>
          </cell>
        </row>
        <row r="183">
          <cell r="C183" t="str">
            <v>Bolt and Nuts M16-75 mm</v>
          </cell>
          <cell r="E183">
            <v>1</v>
          </cell>
          <cell r="F183" t="str">
            <v>Bh</v>
          </cell>
          <cell r="G183" t="str">
            <v>Bh</v>
          </cell>
          <cell r="H183">
            <v>0.20600000000000002</v>
          </cell>
          <cell r="I183">
            <v>0.20600000000000002</v>
          </cell>
          <cell r="K183">
            <v>2651.35</v>
          </cell>
          <cell r="L183">
            <v>2652</v>
          </cell>
        </row>
        <row r="184">
          <cell r="C184" t="str">
            <v>Bolt and Nuts M16-80 mm</v>
          </cell>
          <cell r="E184">
            <v>1</v>
          </cell>
          <cell r="F184" t="str">
            <v>Bh</v>
          </cell>
          <cell r="G184" t="str">
            <v>Bh</v>
          </cell>
          <cell r="H184">
            <v>0.21600000000000003</v>
          </cell>
          <cell r="I184">
            <v>0.21600000000000003</v>
          </cell>
          <cell r="K184">
            <v>2742.35</v>
          </cell>
          <cell r="L184">
            <v>2743</v>
          </cell>
        </row>
        <row r="185">
          <cell r="C185" t="str">
            <v>Bolt and Nuts M16-85 mm</v>
          </cell>
          <cell r="E185">
            <v>1</v>
          </cell>
          <cell r="F185" t="str">
            <v>Bh</v>
          </cell>
          <cell r="G185" t="str">
            <v>Bh</v>
          </cell>
          <cell r="H185">
            <v>0.221</v>
          </cell>
          <cell r="I185">
            <v>0.221</v>
          </cell>
          <cell r="K185">
            <v>2930.85</v>
          </cell>
          <cell r="L185">
            <v>2931</v>
          </cell>
        </row>
        <row r="186">
          <cell r="C186" t="str">
            <v>Bolt and Nuts M16-90 mm</v>
          </cell>
          <cell r="E186">
            <v>1</v>
          </cell>
          <cell r="F186" t="str">
            <v>Bh</v>
          </cell>
          <cell r="G186" t="str">
            <v>Bh</v>
          </cell>
          <cell r="H186">
            <v>0.22600000000000001</v>
          </cell>
          <cell r="I186">
            <v>0.22600000000000001</v>
          </cell>
          <cell r="K186">
            <v>2956.85</v>
          </cell>
          <cell r="L186">
            <v>2957</v>
          </cell>
        </row>
        <row r="187">
          <cell r="C187" t="str">
            <v>Bolt and Nuts M16-95 mm</v>
          </cell>
          <cell r="E187">
            <v>1</v>
          </cell>
          <cell r="F187" t="str">
            <v>Bh</v>
          </cell>
          <cell r="G187" t="str">
            <v>Bh</v>
          </cell>
          <cell r="H187">
            <v>0.23600000000000002</v>
          </cell>
          <cell r="I187">
            <v>0.23600000000000002</v>
          </cell>
          <cell r="K187">
            <v>3190.85</v>
          </cell>
          <cell r="L187">
            <v>3191</v>
          </cell>
        </row>
        <row r="188">
          <cell r="C188" t="str">
            <v>Bolt and Nuts M16-100 mm</v>
          </cell>
          <cell r="E188">
            <v>1</v>
          </cell>
          <cell r="F188" t="str">
            <v>Bh</v>
          </cell>
          <cell r="G188" t="str">
            <v>Bh</v>
          </cell>
          <cell r="H188">
            <v>0.24600000000000002</v>
          </cell>
          <cell r="I188">
            <v>0.24600000000000002</v>
          </cell>
          <cell r="K188">
            <v>3216.85</v>
          </cell>
          <cell r="L188">
            <v>3217</v>
          </cell>
        </row>
        <row r="189">
          <cell r="C189" t="str">
            <v>Bolt and Nuts M16-110 mm</v>
          </cell>
          <cell r="E189">
            <v>1</v>
          </cell>
          <cell r="F189" t="str">
            <v>Bh</v>
          </cell>
          <cell r="G189" t="str">
            <v>Bh</v>
          </cell>
          <cell r="H189">
            <v>0.25600000000000001</v>
          </cell>
          <cell r="I189">
            <v>0.25600000000000001</v>
          </cell>
          <cell r="K189">
            <v>3502.2</v>
          </cell>
          <cell r="L189">
            <v>3503</v>
          </cell>
        </row>
        <row r="190">
          <cell r="C190" t="str">
            <v>Bolt and Nuts M16-120 mm</v>
          </cell>
          <cell r="E190">
            <v>1</v>
          </cell>
          <cell r="F190" t="str">
            <v>Bh</v>
          </cell>
          <cell r="G190" t="str">
            <v>Bh</v>
          </cell>
          <cell r="H190">
            <v>0.27600000000000002</v>
          </cell>
          <cell r="I190">
            <v>0.27600000000000002</v>
          </cell>
          <cell r="K190">
            <v>3710.85</v>
          </cell>
          <cell r="L190">
            <v>3711</v>
          </cell>
        </row>
        <row r="191">
          <cell r="C191" t="str">
            <v>Bolt and Nuts M16-130 mm</v>
          </cell>
          <cell r="E191">
            <v>1</v>
          </cell>
          <cell r="F191" t="str">
            <v>Bh</v>
          </cell>
          <cell r="G191" t="str">
            <v>Bh</v>
          </cell>
          <cell r="H191">
            <v>0.28600000000000003</v>
          </cell>
          <cell r="I191">
            <v>0.28600000000000003</v>
          </cell>
          <cell r="K191">
            <v>3918.85</v>
          </cell>
          <cell r="L191">
            <v>3919</v>
          </cell>
        </row>
        <row r="192">
          <cell r="C192" t="str">
            <v>Bolt and Nuts M16-140 mm</v>
          </cell>
          <cell r="E192">
            <v>1</v>
          </cell>
          <cell r="F192" t="str">
            <v>Bh</v>
          </cell>
          <cell r="G192" t="str">
            <v>Bh</v>
          </cell>
          <cell r="H192">
            <v>0.30599999999999999</v>
          </cell>
          <cell r="I192">
            <v>0.30599999999999999</v>
          </cell>
          <cell r="K192">
            <v>3541.85</v>
          </cell>
          <cell r="L192">
            <v>3542</v>
          </cell>
        </row>
        <row r="193">
          <cell r="C193" t="str">
            <v>Bolt and Nuts M16-150 mm</v>
          </cell>
          <cell r="E193">
            <v>1</v>
          </cell>
          <cell r="F193" t="str">
            <v>Bh</v>
          </cell>
          <cell r="G193" t="str">
            <v>Bh</v>
          </cell>
          <cell r="H193">
            <v>0.316</v>
          </cell>
          <cell r="I193">
            <v>0.316</v>
          </cell>
          <cell r="K193">
            <v>4471.3500000000004</v>
          </cell>
          <cell r="L193">
            <v>4472</v>
          </cell>
        </row>
        <row r="195">
          <cell r="C195" t="str">
            <v>Bolt and Nuts M20-40 mm</v>
          </cell>
          <cell r="E195">
            <v>1</v>
          </cell>
          <cell r="F195" t="str">
            <v>Bh</v>
          </cell>
          <cell r="G195" t="str">
            <v>Bh</v>
          </cell>
          <cell r="H195">
            <v>0.249</v>
          </cell>
          <cell r="I195">
            <v>0.249</v>
          </cell>
          <cell r="K195">
            <v>3429.4</v>
          </cell>
          <cell r="L195">
            <v>3430</v>
          </cell>
        </row>
        <row r="196">
          <cell r="C196" t="str">
            <v>Bolt and Nuts M20-45 mm</v>
          </cell>
          <cell r="E196">
            <v>1</v>
          </cell>
          <cell r="F196" t="str">
            <v>Bh</v>
          </cell>
          <cell r="G196" t="str">
            <v>Bh</v>
          </cell>
          <cell r="H196">
            <v>0.25900000000000001</v>
          </cell>
          <cell r="I196">
            <v>0.25900000000000001</v>
          </cell>
          <cell r="K196">
            <v>3559.4</v>
          </cell>
          <cell r="L196">
            <v>3560</v>
          </cell>
        </row>
        <row r="197">
          <cell r="C197" t="str">
            <v>Bolt and Nuts M20-50 mm</v>
          </cell>
          <cell r="E197">
            <v>1</v>
          </cell>
          <cell r="F197" t="str">
            <v>Bh</v>
          </cell>
          <cell r="G197" t="str">
            <v>Bh</v>
          </cell>
          <cell r="H197">
            <v>0.26899999999999996</v>
          </cell>
          <cell r="I197">
            <v>0.26899999999999996</v>
          </cell>
          <cell r="K197">
            <v>3610.75</v>
          </cell>
          <cell r="L197">
            <v>3611</v>
          </cell>
        </row>
        <row r="198">
          <cell r="C198" t="str">
            <v>Bolt and Nuts M20-55 mm</v>
          </cell>
          <cell r="E198">
            <v>1</v>
          </cell>
          <cell r="F198" t="str">
            <v>Bh</v>
          </cell>
          <cell r="G198" t="str">
            <v>Bh</v>
          </cell>
          <cell r="H198">
            <v>0.27899999999999997</v>
          </cell>
          <cell r="I198">
            <v>0.27899999999999997</v>
          </cell>
          <cell r="K198">
            <v>3864.9</v>
          </cell>
          <cell r="L198">
            <v>3865</v>
          </cell>
        </row>
        <row r="199">
          <cell r="C199" t="str">
            <v>Bolt and Nuts M20-60 mm</v>
          </cell>
          <cell r="E199">
            <v>1</v>
          </cell>
          <cell r="F199" t="str">
            <v>Bh</v>
          </cell>
          <cell r="G199" t="str">
            <v>Bh</v>
          </cell>
          <cell r="H199">
            <v>0.29899999999999999</v>
          </cell>
          <cell r="I199">
            <v>0.29899999999999999</v>
          </cell>
          <cell r="K199">
            <v>4027.4</v>
          </cell>
          <cell r="L199">
            <v>4028</v>
          </cell>
        </row>
        <row r="200">
          <cell r="C200" t="str">
            <v>Bolt and Nuts M20-65 mm</v>
          </cell>
          <cell r="E200">
            <v>1</v>
          </cell>
          <cell r="F200" t="str">
            <v>Bh</v>
          </cell>
          <cell r="G200" t="str">
            <v>Bh</v>
          </cell>
          <cell r="H200">
            <v>0.309</v>
          </cell>
          <cell r="I200">
            <v>0.309</v>
          </cell>
          <cell r="K200">
            <v>4261.3999999999996</v>
          </cell>
          <cell r="L200">
            <v>4262</v>
          </cell>
        </row>
        <row r="201">
          <cell r="C201" t="str">
            <v>Bolt and Nuts M20-70 mm</v>
          </cell>
          <cell r="E201">
            <v>1</v>
          </cell>
          <cell r="F201" t="str">
            <v>Bh</v>
          </cell>
          <cell r="G201" t="str">
            <v>Bh</v>
          </cell>
          <cell r="H201">
            <v>0.31900000000000001</v>
          </cell>
          <cell r="I201">
            <v>0.31900000000000001</v>
          </cell>
          <cell r="K201">
            <v>4397.8999999999996</v>
          </cell>
          <cell r="L201">
            <v>4398</v>
          </cell>
        </row>
        <row r="202">
          <cell r="C202" t="str">
            <v>Bolt and Nuts M20-75 mm</v>
          </cell>
          <cell r="E202">
            <v>1</v>
          </cell>
          <cell r="F202" t="str">
            <v>Bh</v>
          </cell>
          <cell r="G202" t="str">
            <v>Bh</v>
          </cell>
          <cell r="H202">
            <v>0.32899999999999996</v>
          </cell>
          <cell r="I202">
            <v>0.32899999999999996</v>
          </cell>
          <cell r="K202">
            <v>4586.3999999999996</v>
          </cell>
          <cell r="L202">
            <v>4587</v>
          </cell>
        </row>
        <row r="203">
          <cell r="C203" t="str">
            <v>Bolt and Nuts M20-80 mm</v>
          </cell>
          <cell r="E203">
            <v>1</v>
          </cell>
          <cell r="F203" t="str">
            <v>Bh</v>
          </cell>
          <cell r="G203" t="str">
            <v>Bh</v>
          </cell>
          <cell r="H203">
            <v>0.34899999999999998</v>
          </cell>
          <cell r="I203">
            <v>0.34899999999999998</v>
          </cell>
          <cell r="K203">
            <v>4690.3999999999996</v>
          </cell>
          <cell r="L203">
            <v>4691</v>
          </cell>
        </row>
        <row r="204">
          <cell r="C204" t="str">
            <v>Bolt and Nuts M20-85 mm</v>
          </cell>
          <cell r="E204">
            <v>1</v>
          </cell>
          <cell r="F204" t="str">
            <v>Bh</v>
          </cell>
          <cell r="G204" t="str">
            <v>Bh</v>
          </cell>
          <cell r="H204">
            <v>0.35899999999999999</v>
          </cell>
          <cell r="I204">
            <v>0.35899999999999999</v>
          </cell>
          <cell r="K204">
            <v>5054.3999999999996</v>
          </cell>
          <cell r="L204">
            <v>5055</v>
          </cell>
        </row>
        <row r="205">
          <cell r="C205" t="str">
            <v>Bolt and Nuts M20-90 mm</v>
          </cell>
          <cell r="E205">
            <v>1</v>
          </cell>
          <cell r="F205" t="str">
            <v>Bh</v>
          </cell>
          <cell r="G205" t="str">
            <v>Bh</v>
          </cell>
          <cell r="H205">
            <v>0.36899999999999999</v>
          </cell>
          <cell r="I205">
            <v>0.36899999999999999</v>
          </cell>
          <cell r="K205">
            <v>5093.3999999999996</v>
          </cell>
          <cell r="L205">
            <v>5094</v>
          </cell>
        </row>
        <row r="206">
          <cell r="C206" t="str">
            <v>Bolt and Nuts M20-95 mm</v>
          </cell>
          <cell r="E206">
            <v>1</v>
          </cell>
          <cell r="F206" t="str">
            <v>Bh</v>
          </cell>
          <cell r="G206" t="str">
            <v>Bh</v>
          </cell>
          <cell r="H206">
            <v>0.379</v>
          </cell>
          <cell r="I206">
            <v>0.379</v>
          </cell>
          <cell r="K206">
            <v>5372.9</v>
          </cell>
          <cell r="L206">
            <v>5373</v>
          </cell>
        </row>
        <row r="207">
          <cell r="C207" t="str">
            <v>Bolt and Nuts M20-100 mm</v>
          </cell>
          <cell r="E207">
            <v>1</v>
          </cell>
          <cell r="F207" t="str">
            <v>Bh</v>
          </cell>
          <cell r="G207" t="str">
            <v>Bh</v>
          </cell>
          <cell r="H207">
            <v>0.38900000000000001</v>
          </cell>
          <cell r="I207">
            <v>0.38900000000000001</v>
          </cell>
          <cell r="K207">
            <v>5392.4</v>
          </cell>
          <cell r="L207">
            <v>5393</v>
          </cell>
        </row>
        <row r="208">
          <cell r="C208" t="str">
            <v>Bolt and Nuts M20-110 mm</v>
          </cell>
          <cell r="E208">
            <v>1</v>
          </cell>
          <cell r="F208" t="str">
            <v>Bh</v>
          </cell>
          <cell r="G208" t="str">
            <v>Bh</v>
          </cell>
          <cell r="H208">
            <v>0.41899999999999998</v>
          </cell>
          <cell r="I208">
            <v>0.41899999999999998</v>
          </cell>
          <cell r="K208">
            <v>5957.9</v>
          </cell>
          <cell r="L208">
            <v>5958</v>
          </cell>
        </row>
        <row r="209">
          <cell r="C209" t="str">
            <v>Bolt and Nuts M20-120 mm</v>
          </cell>
          <cell r="E209">
            <v>1</v>
          </cell>
          <cell r="F209" t="str">
            <v>Bh</v>
          </cell>
          <cell r="G209" t="str">
            <v>Bh</v>
          </cell>
          <cell r="H209">
            <v>0.439</v>
          </cell>
          <cell r="I209">
            <v>0.439</v>
          </cell>
          <cell r="K209">
            <v>6263.4</v>
          </cell>
          <cell r="L209">
            <v>6264</v>
          </cell>
        </row>
        <row r="210">
          <cell r="C210" t="str">
            <v>Bolt and Nuts M20-130 mm</v>
          </cell>
          <cell r="E210">
            <v>1</v>
          </cell>
          <cell r="F210" t="str">
            <v>Bh</v>
          </cell>
          <cell r="G210" t="str">
            <v>Bh</v>
          </cell>
          <cell r="H210">
            <v>0.47899999999999998</v>
          </cell>
          <cell r="I210">
            <v>0.47899999999999998</v>
          </cell>
          <cell r="K210">
            <v>6620.9</v>
          </cell>
          <cell r="L210">
            <v>6621</v>
          </cell>
        </row>
        <row r="211">
          <cell r="C211" t="str">
            <v>Bolt and Nuts M20-140 mm</v>
          </cell>
          <cell r="E211">
            <v>1</v>
          </cell>
          <cell r="F211" t="str">
            <v>Bh</v>
          </cell>
          <cell r="G211" t="str">
            <v>Bh</v>
          </cell>
          <cell r="H211">
            <v>0.48899999999999999</v>
          </cell>
          <cell r="I211">
            <v>0.48899999999999999</v>
          </cell>
          <cell r="K211">
            <v>6893.9</v>
          </cell>
          <cell r="L211">
            <v>6894</v>
          </cell>
        </row>
        <row r="212">
          <cell r="C212" t="str">
            <v>Bolt and Nuts M20-150 mm</v>
          </cell>
          <cell r="E212">
            <v>1</v>
          </cell>
          <cell r="F212" t="str">
            <v>Bh</v>
          </cell>
          <cell r="G212" t="str">
            <v>Bh</v>
          </cell>
          <cell r="H212">
            <v>0.51900000000000002</v>
          </cell>
          <cell r="I212">
            <v>0.51900000000000002</v>
          </cell>
          <cell r="K212">
            <v>7296.9</v>
          </cell>
          <cell r="L212">
            <v>7297</v>
          </cell>
        </row>
        <row r="213">
          <cell r="C213" t="str">
            <v>Bolt and Nuts M20-160 mm</v>
          </cell>
          <cell r="E213">
            <v>1</v>
          </cell>
          <cell r="F213" t="str">
            <v>Bh</v>
          </cell>
          <cell r="G213" t="str">
            <v>Bh</v>
          </cell>
          <cell r="H213">
            <v>0.53900000000000003</v>
          </cell>
          <cell r="I213">
            <v>0.53900000000000003</v>
          </cell>
          <cell r="K213">
            <v>9474.4</v>
          </cell>
          <cell r="L213">
            <v>9475</v>
          </cell>
        </row>
        <row r="214">
          <cell r="C214" t="str">
            <v>Bolt and Nuts M20-170 mm</v>
          </cell>
          <cell r="E214">
            <v>1</v>
          </cell>
          <cell r="F214" t="str">
            <v>Bh</v>
          </cell>
          <cell r="G214" t="str">
            <v>Bh</v>
          </cell>
          <cell r="H214">
            <v>4.8889999999999993</v>
          </cell>
          <cell r="I214">
            <v>4.8889999999999993</v>
          </cell>
          <cell r="K214">
            <v>10013.9</v>
          </cell>
          <cell r="L214">
            <v>10014</v>
          </cell>
        </row>
        <row r="215">
          <cell r="C215" t="str">
            <v>Bolt and Nuts M20-180 mm</v>
          </cell>
          <cell r="E215">
            <v>1</v>
          </cell>
          <cell r="F215" t="str">
            <v>Bh</v>
          </cell>
          <cell r="G215" t="str">
            <v>Bh</v>
          </cell>
          <cell r="H215">
            <v>0.58899999999999997</v>
          </cell>
          <cell r="I215">
            <v>0.58899999999999997</v>
          </cell>
          <cell r="K215">
            <v>10566.4</v>
          </cell>
          <cell r="L215">
            <v>10567</v>
          </cell>
        </row>
        <row r="216">
          <cell r="C216" t="str">
            <v>Bolt and Nuts M20-190 mm</v>
          </cell>
          <cell r="E216">
            <v>1</v>
          </cell>
          <cell r="F216" t="str">
            <v>Bh</v>
          </cell>
          <cell r="G216" t="str">
            <v>Bh</v>
          </cell>
          <cell r="H216">
            <v>0.61899999999999999</v>
          </cell>
          <cell r="I216">
            <v>0.61899999999999999</v>
          </cell>
          <cell r="K216">
            <v>11749.4</v>
          </cell>
          <cell r="L216">
            <v>11750</v>
          </cell>
        </row>
        <row r="217">
          <cell r="C217" t="str">
            <v>Bolt and Nuts M20-200 mm</v>
          </cell>
          <cell r="E217">
            <v>1</v>
          </cell>
          <cell r="F217" t="str">
            <v>Bh</v>
          </cell>
          <cell r="G217" t="str">
            <v>Bh</v>
          </cell>
          <cell r="H217">
            <v>0.63900000000000001</v>
          </cell>
          <cell r="I217">
            <v>0.63900000000000001</v>
          </cell>
          <cell r="K217">
            <v>11645.4</v>
          </cell>
          <cell r="L217">
            <v>11646</v>
          </cell>
        </row>
        <row r="219">
          <cell r="C219" t="str">
            <v>Bolt and Nuts M22-40 mm</v>
          </cell>
          <cell r="E219">
            <v>1</v>
          </cell>
          <cell r="F219" t="str">
            <v>Bh</v>
          </cell>
          <cell r="G219" t="str">
            <v>Bh</v>
          </cell>
          <cell r="H219">
            <v>0.19699999999999998</v>
          </cell>
          <cell r="I219">
            <v>0.19699999999999998</v>
          </cell>
          <cell r="K219">
            <v>5625.75</v>
          </cell>
          <cell r="L219">
            <v>5626</v>
          </cell>
        </row>
        <row r="220">
          <cell r="C220" t="str">
            <v>Bolt and Nuts M22-45 mm</v>
          </cell>
          <cell r="E220">
            <v>1</v>
          </cell>
          <cell r="F220" t="str">
            <v>Bh</v>
          </cell>
          <cell r="G220" t="str">
            <v>Bh</v>
          </cell>
          <cell r="H220">
            <v>0.22699999999999998</v>
          </cell>
          <cell r="I220">
            <v>0.22699999999999998</v>
          </cell>
          <cell r="K220">
            <v>5703.75</v>
          </cell>
          <cell r="L220">
            <v>5704</v>
          </cell>
        </row>
        <row r="221">
          <cell r="C221" t="str">
            <v>Bolt and Nuts M22-50 mm</v>
          </cell>
          <cell r="E221">
            <v>1</v>
          </cell>
          <cell r="F221" t="str">
            <v>Bh</v>
          </cell>
          <cell r="G221" t="str">
            <v>Bh</v>
          </cell>
          <cell r="H221">
            <v>0.25700000000000001</v>
          </cell>
          <cell r="I221">
            <v>0.25700000000000001</v>
          </cell>
          <cell r="K221">
            <v>5827.25</v>
          </cell>
          <cell r="L221">
            <v>5828</v>
          </cell>
        </row>
        <row r="222">
          <cell r="C222" t="str">
            <v>Bolt and Nuts M22-55 mm</v>
          </cell>
          <cell r="E222">
            <v>1</v>
          </cell>
          <cell r="F222" t="str">
            <v>Bh</v>
          </cell>
          <cell r="G222" t="str">
            <v>Bh</v>
          </cell>
          <cell r="H222">
            <v>0.28699999999999998</v>
          </cell>
          <cell r="I222">
            <v>0.28699999999999998</v>
          </cell>
          <cell r="K222">
            <v>6048.25</v>
          </cell>
          <cell r="L222">
            <v>6049</v>
          </cell>
        </row>
        <row r="223">
          <cell r="C223" t="str">
            <v>Bolt and Nuts M22-60 mm</v>
          </cell>
          <cell r="E223">
            <v>1</v>
          </cell>
          <cell r="F223" t="str">
            <v>Bh</v>
          </cell>
          <cell r="G223" t="str">
            <v>Bh</v>
          </cell>
          <cell r="H223">
            <v>0.317</v>
          </cell>
          <cell r="I223">
            <v>0.317</v>
          </cell>
          <cell r="K223">
            <v>6360.25</v>
          </cell>
          <cell r="L223">
            <v>6361</v>
          </cell>
        </row>
        <row r="224">
          <cell r="C224" t="str">
            <v>Bolt and Nuts M22-65 mm</v>
          </cell>
          <cell r="E224">
            <v>1</v>
          </cell>
          <cell r="F224" t="str">
            <v>Bh</v>
          </cell>
          <cell r="G224" t="str">
            <v>Bh</v>
          </cell>
          <cell r="H224">
            <v>0.34700000000000003</v>
          </cell>
          <cell r="I224">
            <v>0.34700000000000003</v>
          </cell>
          <cell r="K224">
            <v>6600.75</v>
          </cell>
          <cell r="L224">
            <v>6601</v>
          </cell>
        </row>
        <row r="225">
          <cell r="C225" t="str">
            <v>Bolt and Nuts M22-70 mm</v>
          </cell>
          <cell r="E225">
            <v>1</v>
          </cell>
          <cell r="F225" t="str">
            <v>Bh</v>
          </cell>
          <cell r="G225" t="str">
            <v>Bh</v>
          </cell>
          <cell r="H225">
            <v>0.377</v>
          </cell>
          <cell r="I225">
            <v>0.377</v>
          </cell>
          <cell r="K225">
            <v>6873.75</v>
          </cell>
          <cell r="L225">
            <v>6874</v>
          </cell>
        </row>
        <row r="226">
          <cell r="C226" t="str">
            <v>Bolt and Nuts M22-75 mm</v>
          </cell>
          <cell r="E226">
            <v>1</v>
          </cell>
          <cell r="F226" t="str">
            <v>Bh</v>
          </cell>
          <cell r="G226" t="str">
            <v>Bh</v>
          </cell>
          <cell r="H226">
            <v>0.40700000000000003</v>
          </cell>
          <cell r="I226">
            <v>0.40700000000000003</v>
          </cell>
          <cell r="K226">
            <v>7127.25</v>
          </cell>
          <cell r="L226">
            <v>7128</v>
          </cell>
        </row>
        <row r="227">
          <cell r="C227" t="str">
            <v>Bolt and Nuts M22-80 mm</v>
          </cell>
          <cell r="E227">
            <v>1</v>
          </cell>
          <cell r="F227" t="str">
            <v>Bh</v>
          </cell>
          <cell r="G227" t="str">
            <v>Bh</v>
          </cell>
          <cell r="H227">
            <v>0.43700000000000006</v>
          </cell>
          <cell r="I227">
            <v>0.43700000000000006</v>
          </cell>
          <cell r="K227">
            <v>7380.75</v>
          </cell>
          <cell r="L227">
            <v>7381</v>
          </cell>
        </row>
        <row r="228">
          <cell r="C228" t="str">
            <v>Bolt and Nuts M22-85 mm</v>
          </cell>
          <cell r="E228">
            <v>1</v>
          </cell>
          <cell r="F228" t="str">
            <v>Bh</v>
          </cell>
          <cell r="G228" t="str">
            <v>Bh</v>
          </cell>
          <cell r="H228">
            <v>0.45200000000000001</v>
          </cell>
          <cell r="I228">
            <v>0.45200000000000001</v>
          </cell>
          <cell r="K228">
            <v>7653.75</v>
          </cell>
          <cell r="L228">
            <v>7654</v>
          </cell>
        </row>
        <row r="229">
          <cell r="C229" t="str">
            <v>Bolt and Nuts M22-90 mm</v>
          </cell>
          <cell r="E229">
            <v>1</v>
          </cell>
          <cell r="F229" t="str">
            <v>Bh</v>
          </cell>
          <cell r="G229" t="str">
            <v>Bh</v>
          </cell>
          <cell r="H229">
            <v>0.46700000000000003</v>
          </cell>
          <cell r="I229">
            <v>0.46700000000000003</v>
          </cell>
          <cell r="K229">
            <v>7907.25</v>
          </cell>
          <cell r="L229">
            <v>7908</v>
          </cell>
        </row>
        <row r="230">
          <cell r="C230" t="str">
            <v>Bolt and Nuts M22-95 mm</v>
          </cell>
          <cell r="E230">
            <v>1</v>
          </cell>
          <cell r="F230" t="str">
            <v>Bh</v>
          </cell>
          <cell r="G230" t="str">
            <v>Bh</v>
          </cell>
          <cell r="H230">
            <v>0.48200000000000004</v>
          </cell>
          <cell r="I230">
            <v>0.48200000000000004</v>
          </cell>
          <cell r="K230">
            <v>8147.75</v>
          </cell>
          <cell r="L230">
            <v>8148</v>
          </cell>
        </row>
        <row r="231">
          <cell r="C231" t="str">
            <v>Bolt and Nuts M22-100 mm</v>
          </cell>
          <cell r="E231">
            <v>1</v>
          </cell>
          <cell r="F231" t="str">
            <v>Bh</v>
          </cell>
          <cell r="G231" t="str">
            <v>Bh</v>
          </cell>
          <cell r="H231">
            <v>0.49700000000000005</v>
          </cell>
          <cell r="I231">
            <v>0.49700000000000005</v>
          </cell>
          <cell r="K231">
            <v>8485.75</v>
          </cell>
          <cell r="L231">
            <v>8486</v>
          </cell>
        </row>
        <row r="232">
          <cell r="C232" t="str">
            <v>Bolt and Nuts M22-110 mm</v>
          </cell>
          <cell r="E232">
            <v>1</v>
          </cell>
          <cell r="F232" t="str">
            <v>Bh</v>
          </cell>
          <cell r="G232" t="str">
            <v>Bh</v>
          </cell>
          <cell r="H232">
            <v>0.52700000000000002</v>
          </cell>
          <cell r="I232">
            <v>0.52700000000000002</v>
          </cell>
          <cell r="K232">
            <v>8953.75</v>
          </cell>
          <cell r="L232">
            <v>8954</v>
          </cell>
        </row>
        <row r="233">
          <cell r="C233" t="str">
            <v>Bolt and Nuts M22-120 mm</v>
          </cell>
          <cell r="E233">
            <v>1</v>
          </cell>
          <cell r="F233" t="str">
            <v>Bh</v>
          </cell>
          <cell r="G233" t="str">
            <v>Bh</v>
          </cell>
          <cell r="H233">
            <v>0.55700000000000005</v>
          </cell>
          <cell r="I233">
            <v>0.55700000000000005</v>
          </cell>
          <cell r="K233">
            <v>9473.75</v>
          </cell>
          <cell r="L233">
            <v>9474</v>
          </cell>
        </row>
        <row r="234">
          <cell r="C234" t="str">
            <v>Bolt and Nuts M22-130 mm</v>
          </cell>
          <cell r="E234">
            <v>1</v>
          </cell>
          <cell r="F234" t="str">
            <v>Bh</v>
          </cell>
          <cell r="G234" t="str">
            <v>Bh</v>
          </cell>
          <cell r="H234">
            <v>0.58700000000000008</v>
          </cell>
          <cell r="I234">
            <v>0.58700000000000008</v>
          </cell>
          <cell r="K234">
            <v>9948.25</v>
          </cell>
          <cell r="L234">
            <v>9949</v>
          </cell>
        </row>
        <row r="235">
          <cell r="C235" t="str">
            <v>Bolt and Nuts M22-140 mm</v>
          </cell>
          <cell r="E235">
            <v>1</v>
          </cell>
          <cell r="F235" t="str">
            <v>Bh</v>
          </cell>
          <cell r="G235" t="str">
            <v>Bh</v>
          </cell>
          <cell r="H235">
            <v>0.61699999999999999</v>
          </cell>
          <cell r="I235">
            <v>0.61699999999999999</v>
          </cell>
          <cell r="K235">
            <v>10481.25</v>
          </cell>
          <cell r="L235">
            <v>10482</v>
          </cell>
        </row>
        <row r="236">
          <cell r="C236" t="str">
            <v>Bolt and Nuts M22-150 mm</v>
          </cell>
          <cell r="E236">
            <v>1</v>
          </cell>
          <cell r="F236" t="str">
            <v>Bh</v>
          </cell>
          <cell r="G236" t="str">
            <v>Bh</v>
          </cell>
          <cell r="H236">
            <v>0.64700000000000002</v>
          </cell>
          <cell r="I236">
            <v>0.64700000000000002</v>
          </cell>
          <cell r="K236">
            <v>10994.75</v>
          </cell>
          <cell r="L236">
            <v>10995</v>
          </cell>
        </row>
        <row r="237">
          <cell r="C237" t="str">
            <v>Bolt and Nuts M22-160 mm</v>
          </cell>
          <cell r="E237">
            <v>1</v>
          </cell>
          <cell r="F237" t="str">
            <v>Bh</v>
          </cell>
          <cell r="G237" t="str">
            <v>Bh</v>
          </cell>
          <cell r="H237">
            <v>0.67700000000000005</v>
          </cell>
          <cell r="I237">
            <v>0.67700000000000005</v>
          </cell>
          <cell r="K237">
            <v>12619.75</v>
          </cell>
          <cell r="L237">
            <v>12620</v>
          </cell>
        </row>
        <row r="238">
          <cell r="C238" t="str">
            <v>Bolt and Nuts M22-170 mm</v>
          </cell>
          <cell r="E238">
            <v>1</v>
          </cell>
          <cell r="F238" t="str">
            <v>Bh</v>
          </cell>
          <cell r="G238" t="str">
            <v>Bh</v>
          </cell>
          <cell r="H238">
            <v>0.70700000000000007</v>
          </cell>
          <cell r="I238">
            <v>0.70700000000000007</v>
          </cell>
          <cell r="K238">
            <v>13393.25</v>
          </cell>
          <cell r="L238">
            <v>13394</v>
          </cell>
        </row>
        <row r="239">
          <cell r="C239" t="str">
            <v>Bolt and Nuts M22-180 mm</v>
          </cell>
          <cell r="E239">
            <v>1</v>
          </cell>
          <cell r="F239" t="str">
            <v>Bh</v>
          </cell>
          <cell r="G239" t="str">
            <v>Bh</v>
          </cell>
          <cell r="H239">
            <v>0.72699999999999998</v>
          </cell>
          <cell r="I239">
            <v>0.72699999999999998</v>
          </cell>
          <cell r="K239">
            <v>14069.25</v>
          </cell>
          <cell r="L239">
            <v>14070</v>
          </cell>
        </row>
        <row r="240">
          <cell r="C240" t="str">
            <v>Bolt and Nuts M22-190 mm</v>
          </cell>
          <cell r="E240">
            <v>1</v>
          </cell>
          <cell r="F240" t="str">
            <v>Bh</v>
          </cell>
          <cell r="G240" t="str">
            <v>Bh</v>
          </cell>
          <cell r="H240">
            <v>0.75700000000000001</v>
          </cell>
          <cell r="I240">
            <v>0.75700000000000001</v>
          </cell>
          <cell r="K240">
            <v>14797.25</v>
          </cell>
          <cell r="L240">
            <v>14798</v>
          </cell>
        </row>
        <row r="241">
          <cell r="C241" t="str">
            <v>Bolt and Nuts M22-200 mm</v>
          </cell>
          <cell r="E241">
            <v>1</v>
          </cell>
          <cell r="F241" t="str">
            <v>Bh</v>
          </cell>
          <cell r="G241" t="str">
            <v>Bh</v>
          </cell>
          <cell r="H241">
            <v>0.78700000000000003</v>
          </cell>
          <cell r="I241">
            <v>0.78700000000000003</v>
          </cell>
          <cell r="K241">
            <v>15512.25</v>
          </cell>
          <cell r="L241">
            <v>15513</v>
          </cell>
        </row>
        <row r="243">
          <cell r="C243" t="str">
            <v>Bolt and Nuts M24-50 mm</v>
          </cell>
          <cell r="E243">
            <v>1</v>
          </cell>
          <cell r="F243" t="str">
            <v>Bh</v>
          </cell>
          <cell r="G243" t="str">
            <v>Bh</v>
          </cell>
          <cell r="H243">
            <v>0.43700000000000006</v>
          </cell>
          <cell r="I243">
            <v>0.43700000000000006</v>
          </cell>
          <cell r="K243">
            <v>7503.6</v>
          </cell>
          <cell r="L243">
            <v>7504</v>
          </cell>
        </row>
        <row r="244">
          <cell r="C244" t="str">
            <v>Bolt and Nuts M24-55 mm</v>
          </cell>
          <cell r="E244">
            <v>1</v>
          </cell>
          <cell r="F244" t="str">
            <v>Bh</v>
          </cell>
          <cell r="G244" t="str">
            <v>Bh</v>
          </cell>
          <cell r="H244">
            <v>0.44700000000000001</v>
          </cell>
          <cell r="I244">
            <v>0.44700000000000001</v>
          </cell>
          <cell r="K244">
            <v>7750.6</v>
          </cell>
          <cell r="L244">
            <v>7751</v>
          </cell>
        </row>
        <row r="245">
          <cell r="C245" t="str">
            <v>Bolt and Nuts M24-60 mm</v>
          </cell>
          <cell r="E245">
            <v>1</v>
          </cell>
          <cell r="F245" t="str">
            <v>Bh</v>
          </cell>
          <cell r="G245" t="str">
            <v>Bh</v>
          </cell>
          <cell r="H245">
            <v>0.46700000000000003</v>
          </cell>
          <cell r="I245">
            <v>0.46700000000000003</v>
          </cell>
          <cell r="K245">
            <v>8030.1</v>
          </cell>
          <cell r="L245">
            <v>8031</v>
          </cell>
        </row>
        <row r="246">
          <cell r="C246" t="str">
            <v>Bolt and Nuts M24-65 mm</v>
          </cell>
          <cell r="E246">
            <v>1</v>
          </cell>
          <cell r="F246" t="str">
            <v>Bh</v>
          </cell>
          <cell r="G246" t="str">
            <v>Bh</v>
          </cell>
          <cell r="H246">
            <v>0.47700000000000004</v>
          </cell>
          <cell r="I246">
            <v>0.47700000000000004</v>
          </cell>
          <cell r="K246">
            <v>8381.1</v>
          </cell>
          <cell r="L246">
            <v>8382</v>
          </cell>
        </row>
        <row r="247">
          <cell r="C247" t="str">
            <v>Bolt and Nuts M24-70 mm</v>
          </cell>
          <cell r="E247">
            <v>1</v>
          </cell>
          <cell r="F247" t="str">
            <v>Bh</v>
          </cell>
          <cell r="G247" t="str">
            <v>Bh</v>
          </cell>
          <cell r="H247">
            <v>0.49700000000000005</v>
          </cell>
          <cell r="I247">
            <v>0.49700000000000005</v>
          </cell>
          <cell r="K247">
            <v>8693.1</v>
          </cell>
          <cell r="L247">
            <v>8694</v>
          </cell>
        </row>
        <row r="248">
          <cell r="C248" t="str">
            <v>Bolt and Nuts M24-75 mm</v>
          </cell>
          <cell r="E248">
            <v>1</v>
          </cell>
          <cell r="F248" t="str">
            <v>Bh</v>
          </cell>
          <cell r="G248" t="str">
            <v>Bh</v>
          </cell>
          <cell r="H248">
            <v>0.51700000000000002</v>
          </cell>
          <cell r="I248">
            <v>0.51700000000000002</v>
          </cell>
          <cell r="K248">
            <v>8998.6</v>
          </cell>
          <cell r="L248">
            <v>8999</v>
          </cell>
        </row>
        <row r="249">
          <cell r="C249" t="str">
            <v>Bolt and Nuts M24-80 mm</v>
          </cell>
          <cell r="E249">
            <v>1</v>
          </cell>
          <cell r="F249" t="str">
            <v>Bh</v>
          </cell>
          <cell r="G249" t="str">
            <v>Bh</v>
          </cell>
          <cell r="H249">
            <v>0.53700000000000003</v>
          </cell>
          <cell r="I249">
            <v>0.53700000000000003</v>
          </cell>
          <cell r="K249">
            <v>9330.1</v>
          </cell>
          <cell r="L249">
            <v>9331</v>
          </cell>
        </row>
        <row r="250">
          <cell r="C250" t="str">
            <v>Bolt and Nuts M24-85 mm</v>
          </cell>
          <cell r="E250">
            <v>1</v>
          </cell>
          <cell r="F250" t="str">
            <v>Bh</v>
          </cell>
          <cell r="G250" t="str">
            <v>Bh</v>
          </cell>
          <cell r="H250">
            <v>0.55200000000000005</v>
          </cell>
          <cell r="I250">
            <v>0.55200000000000005</v>
          </cell>
          <cell r="K250">
            <v>9609.6</v>
          </cell>
          <cell r="L250">
            <v>9610</v>
          </cell>
        </row>
        <row r="251">
          <cell r="C251" t="str">
            <v>Bolt and Nuts M24-90 mm</v>
          </cell>
          <cell r="E251">
            <v>1</v>
          </cell>
          <cell r="F251" t="str">
            <v>Bh</v>
          </cell>
          <cell r="G251" t="str">
            <v>Bh</v>
          </cell>
          <cell r="H251">
            <v>0.56700000000000006</v>
          </cell>
          <cell r="I251">
            <v>0.56700000000000006</v>
          </cell>
          <cell r="K251">
            <v>9941.1</v>
          </cell>
          <cell r="L251">
            <v>9942</v>
          </cell>
        </row>
        <row r="252">
          <cell r="C252" t="str">
            <v>Bolt and Nuts M24-95 mm</v>
          </cell>
          <cell r="E252">
            <v>1</v>
          </cell>
          <cell r="F252" t="str">
            <v>Bh</v>
          </cell>
          <cell r="G252" t="str">
            <v>Bh</v>
          </cell>
          <cell r="H252">
            <v>0.58700000000000008</v>
          </cell>
          <cell r="I252">
            <v>0.58700000000000008</v>
          </cell>
          <cell r="K252">
            <v>10253.1</v>
          </cell>
          <cell r="L252">
            <v>10254</v>
          </cell>
        </row>
        <row r="253">
          <cell r="C253" t="str">
            <v>Bolt and Nuts M24-100 mm</v>
          </cell>
          <cell r="E253">
            <v>1</v>
          </cell>
          <cell r="F253" t="str">
            <v>Bh</v>
          </cell>
          <cell r="G253" t="str">
            <v>Bh</v>
          </cell>
          <cell r="H253">
            <v>0.60699999999999998</v>
          </cell>
          <cell r="I253">
            <v>0.60699999999999998</v>
          </cell>
          <cell r="K253">
            <v>10545.6</v>
          </cell>
          <cell r="L253">
            <v>10546</v>
          </cell>
        </row>
        <row r="254">
          <cell r="C254" t="str">
            <v>Bolt and Nuts M24-110 mm</v>
          </cell>
          <cell r="E254">
            <v>1</v>
          </cell>
          <cell r="F254" t="str">
            <v>Bh</v>
          </cell>
          <cell r="G254" t="str">
            <v>Bh</v>
          </cell>
          <cell r="H254">
            <v>0.64700000000000002</v>
          </cell>
          <cell r="I254">
            <v>0.64700000000000002</v>
          </cell>
          <cell r="K254">
            <v>11182.6</v>
          </cell>
          <cell r="L254">
            <v>11183</v>
          </cell>
        </row>
        <row r="255">
          <cell r="C255" t="str">
            <v>Bolt and Nuts M24-120 mm</v>
          </cell>
          <cell r="E255">
            <v>1</v>
          </cell>
          <cell r="F255" t="str">
            <v>Bh</v>
          </cell>
          <cell r="G255" t="str">
            <v>Bh</v>
          </cell>
          <cell r="H255">
            <v>0.67700000000000005</v>
          </cell>
          <cell r="I255">
            <v>0.67700000000000005</v>
          </cell>
          <cell r="K255">
            <v>11754.6</v>
          </cell>
          <cell r="L255">
            <v>11755</v>
          </cell>
        </row>
        <row r="256">
          <cell r="C256" t="str">
            <v>Bolt and Nuts M24-130 mm</v>
          </cell>
          <cell r="E256">
            <v>1</v>
          </cell>
          <cell r="F256" t="str">
            <v>Bh</v>
          </cell>
          <cell r="G256" t="str">
            <v>Bh</v>
          </cell>
          <cell r="H256">
            <v>0.70700000000000007</v>
          </cell>
          <cell r="I256">
            <v>0.70700000000000007</v>
          </cell>
          <cell r="K256">
            <v>12352.6</v>
          </cell>
          <cell r="L256">
            <v>12353</v>
          </cell>
        </row>
        <row r="257">
          <cell r="C257" t="str">
            <v>Bolt and Nuts M24-140 mm</v>
          </cell>
          <cell r="E257">
            <v>1</v>
          </cell>
          <cell r="F257" t="str">
            <v>Bh</v>
          </cell>
          <cell r="G257" t="str">
            <v>Bh</v>
          </cell>
          <cell r="H257">
            <v>0.747</v>
          </cell>
          <cell r="I257">
            <v>0.747</v>
          </cell>
          <cell r="K257">
            <v>13035.1</v>
          </cell>
          <cell r="L257">
            <v>13036</v>
          </cell>
        </row>
        <row r="258">
          <cell r="C258" t="str">
            <v>Bolt and Nuts M24-150 mm</v>
          </cell>
          <cell r="E258">
            <v>1</v>
          </cell>
          <cell r="F258" t="str">
            <v>Bh</v>
          </cell>
          <cell r="G258" t="str">
            <v>Bh</v>
          </cell>
          <cell r="H258">
            <v>0.77700000000000002</v>
          </cell>
          <cell r="I258">
            <v>0.77700000000000002</v>
          </cell>
          <cell r="K258">
            <v>13659.1</v>
          </cell>
          <cell r="L258">
            <v>13660</v>
          </cell>
        </row>
        <row r="259">
          <cell r="C259" t="str">
            <v>Bolt and Nuts M24-160 mm</v>
          </cell>
          <cell r="E259">
            <v>1</v>
          </cell>
          <cell r="F259" t="str">
            <v>Bh</v>
          </cell>
          <cell r="G259" t="str">
            <v>Bh</v>
          </cell>
          <cell r="H259">
            <v>0.81700000000000006</v>
          </cell>
          <cell r="I259">
            <v>0.81700000000000006</v>
          </cell>
          <cell r="K259">
            <v>15635.1</v>
          </cell>
          <cell r="L259">
            <v>15636</v>
          </cell>
        </row>
        <row r="260">
          <cell r="C260" t="str">
            <v>Bolt and Nuts M24-170 mm</v>
          </cell>
          <cell r="E260">
            <v>1</v>
          </cell>
          <cell r="F260" t="str">
            <v>Bh</v>
          </cell>
          <cell r="G260" t="str">
            <v>Bh</v>
          </cell>
          <cell r="H260">
            <v>0.85699999999999998</v>
          </cell>
          <cell r="I260">
            <v>0.85699999999999998</v>
          </cell>
          <cell r="K260">
            <v>16525.599999999999</v>
          </cell>
          <cell r="L260">
            <v>16526</v>
          </cell>
        </row>
        <row r="261">
          <cell r="C261" t="str">
            <v>Bolt and Nuts M24-180 mm</v>
          </cell>
          <cell r="E261">
            <v>1</v>
          </cell>
          <cell r="F261" t="str">
            <v>Bh</v>
          </cell>
          <cell r="G261" t="str">
            <v>Bh</v>
          </cell>
          <cell r="H261">
            <v>0.88700000000000001</v>
          </cell>
          <cell r="I261">
            <v>0.88700000000000001</v>
          </cell>
          <cell r="K261">
            <v>17409.599999999999</v>
          </cell>
          <cell r="L261">
            <v>17410</v>
          </cell>
        </row>
        <row r="262">
          <cell r="C262" t="str">
            <v>Bolt and Nuts M24-190 mm</v>
          </cell>
          <cell r="E262">
            <v>1</v>
          </cell>
          <cell r="F262" t="str">
            <v>Bh</v>
          </cell>
          <cell r="G262" t="str">
            <v>Bh</v>
          </cell>
          <cell r="H262">
            <v>0.92700000000000005</v>
          </cell>
          <cell r="I262">
            <v>0.92700000000000005</v>
          </cell>
          <cell r="K262">
            <v>18300.099999999999</v>
          </cell>
          <cell r="L262">
            <v>18301</v>
          </cell>
        </row>
        <row r="263">
          <cell r="C263" t="str">
            <v>Bolt and Nuts M24-200 mm</v>
          </cell>
          <cell r="E263">
            <v>1</v>
          </cell>
          <cell r="F263" t="str">
            <v>Bh</v>
          </cell>
          <cell r="G263" t="str">
            <v>Bh</v>
          </cell>
          <cell r="H263">
            <v>0.95700000000000007</v>
          </cell>
          <cell r="I263">
            <v>0.95700000000000007</v>
          </cell>
          <cell r="K263">
            <v>19184.099999999999</v>
          </cell>
          <cell r="L263">
            <v>19185</v>
          </cell>
        </row>
        <row r="265">
          <cell r="C265" t="str">
            <v>ANGKUR ASTM A-307</v>
          </cell>
        </row>
        <row r="266">
          <cell r="C266" t="str">
            <v>Angkur dia. 25-1200 c/w 3 mur + 2 ring plate + 2 ring per</v>
          </cell>
          <cell r="E266">
            <v>1</v>
          </cell>
          <cell r="F266" t="str">
            <v>Bh</v>
          </cell>
          <cell r="G266" t="str">
            <v>Bh</v>
          </cell>
          <cell r="H266">
            <v>5.4807500000000005</v>
          </cell>
          <cell r="I266">
            <v>5.4807500000000005</v>
          </cell>
          <cell r="K266">
            <v>72257.142857142855</v>
          </cell>
          <cell r="L266">
            <v>72258</v>
          </cell>
        </row>
        <row r="267">
          <cell r="C267" t="str">
            <v>Angkur dia. 25-1400 c/w 3 mur + 2 ring plate + 2 ring per</v>
          </cell>
          <cell r="E267">
            <v>1</v>
          </cell>
          <cell r="F267" t="str">
            <v>Bh</v>
          </cell>
          <cell r="G267" t="str">
            <v>Bh</v>
          </cell>
          <cell r="H267">
            <v>6.2513750000000012</v>
          </cell>
          <cell r="I267">
            <v>6.2513750000000012</v>
          </cell>
          <cell r="K267">
            <v>84300</v>
          </cell>
          <cell r="L267">
            <v>84300</v>
          </cell>
        </row>
        <row r="268">
          <cell r="C268" t="str">
            <v>Angkur dia. 25-1500 c/w 3 mur + 2 ring plate + 2 ring per</v>
          </cell>
          <cell r="E268">
            <v>1</v>
          </cell>
          <cell r="F268" t="str">
            <v>Bh</v>
          </cell>
          <cell r="G268" t="str">
            <v>Bh</v>
          </cell>
          <cell r="H268">
            <v>6.6366875000000007</v>
          </cell>
          <cell r="I268">
            <v>6.6366875000000007</v>
          </cell>
          <cell r="K268">
            <v>53636</v>
          </cell>
          <cell r="L268">
            <v>53636</v>
          </cell>
        </row>
        <row r="269">
          <cell r="C269" t="str">
            <v>Angkur dia. 30-1400 c/w 3 mur + 2 ring plate + 2 ring per</v>
          </cell>
          <cell r="E269">
            <v>1</v>
          </cell>
          <cell r="F269" t="str">
            <v>Bh</v>
          </cell>
          <cell r="G269" t="str">
            <v>Bh</v>
          </cell>
          <cell r="H269">
            <v>8.8839000000000006</v>
          </cell>
          <cell r="I269">
            <v>8.8839000000000006</v>
          </cell>
          <cell r="K269">
            <v>146000</v>
          </cell>
          <cell r="L269">
            <v>146000</v>
          </cell>
        </row>
        <row r="270">
          <cell r="C270" t="str">
            <v>Angkur dia. 30-1500 c/w 3 mur + 2 ring plate + 2 ring per</v>
          </cell>
          <cell r="E270">
            <v>1</v>
          </cell>
          <cell r="F270" t="str">
            <v>Bh</v>
          </cell>
          <cell r="G270" t="str">
            <v>Bh</v>
          </cell>
          <cell r="H270">
            <v>9.4387500000000006</v>
          </cell>
          <cell r="I270">
            <v>9.4387500000000006</v>
          </cell>
          <cell r="K270">
            <v>154909.09090909088</v>
          </cell>
          <cell r="L270">
            <v>154910</v>
          </cell>
        </row>
        <row r="271">
          <cell r="C271" t="str">
            <v>Angkur dia. 32-1750 c/w 3 mur + 2 ring plate + 2 ring per</v>
          </cell>
          <cell r="E271">
            <v>1</v>
          </cell>
          <cell r="F271" t="str">
            <v>Bh</v>
          </cell>
          <cell r="G271" t="str">
            <v>Bh</v>
          </cell>
          <cell r="H271">
            <v>12.494679999999999</v>
          </cell>
          <cell r="I271">
            <v>12.494679999999999</v>
          </cell>
          <cell r="K271">
            <v>175000</v>
          </cell>
          <cell r="L271">
            <v>175000</v>
          </cell>
        </row>
        <row r="273">
          <cell r="C273" t="str">
            <v>Sock &amp; Reducer</v>
          </cell>
        </row>
        <row r="274">
          <cell r="C274" t="str">
            <v>Sock Drat Dalam Reducer pipa 1" x 3/4" Galvanis</v>
          </cell>
          <cell r="G274" t="str">
            <v>Bh</v>
          </cell>
          <cell r="K274">
            <v>4000</v>
          </cell>
        </row>
        <row r="275">
          <cell r="C275" t="str">
            <v>Sock Drat Dalam Reducer pipa 2" x 1" Galvanis</v>
          </cell>
          <cell r="G275" t="str">
            <v>Bh</v>
          </cell>
          <cell r="K275">
            <v>5000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arga"/>
      <sheetName val="bobot"/>
      <sheetName val="analisa"/>
      <sheetName val="rab"/>
      <sheetName val="rekap"/>
      <sheetName val="Mat Tower"/>
      <sheetName val="Pipe"/>
      <sheetName val="CONV_TAB"/>
      <sheetName val="Mat_Tower"/>
      <sheetName val="Musfir"/>
      <sheetName val="Mat_Tower1"/>
      <sheetName val="Data"/>
    </sheetNames>
    <sheetDataSet>
      <sheetData sheetId="0" refreshError="1">
        <row r="41">
          <cell r="D41">
            <v>7000</v>
          </cell>
        </row>
      </sheetData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LL"/>
      <sheetName val="UnitpricE"/>
      <sheetName val="C"/>
      <sheetName val="D"/>
    </sheetNames>
    <sheetDataSet>
      <sheetData sheetId="0"/>
      <sheetData sheetId="1"/>
      <sheetData sheetId="2"/>
      <sheetData sheetId="3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 - Norelec"/>
      <sheetName val="B _ Norelec"/>
      <sheetName val="BILL"/>
      <sheetName val="Resume"/>
      <sheetName val="PRICES"/>
      <sheetName val="105"/>
      <sheetName val="Discount Tables"/>
      <sheetName val="B_-_Norelec"/>
      <sheetName val="B___Norelec"/>
      <sheetName val="Summary"/>
      <sheetName val="List Price (Implementation)"/>
      <sheetName val="BY PO"/>
      <sheetName val="Material"/>
      <sheetName val="harga"/>
      <sheetName val="Legend"/>
      <sheetName val="Cover"/>
      <sheetName val="Antenna"/>
      <sheetName val="B_-_Norelec1"/>
      <sheetName val="B___Norelec1"/>
      <sheetName val="Discount_Tables"/>
      <sheetName val="List_Price_(Implementation)"/>
      <sheetName val="BY_PO"/>
      <sheetName val="INSTMATR"/>
      <sheetName val="NL180"/>
      <sheetName val="NL240"/>
      <sheetName val="Access Radio NL400"/>
      <sheetName val="SPARE"/>
      <sheetName val="TypeSite.AXD155-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sInfo"/>
      <sheetName val="Pivot"/>
      <sheetName val="lookup"/>
      <sheetName val="Dapot"/>
    </sheetNames>
    <sheetDataSet>
      <sheetData sheetId="0"/>
      <sheetData sheetId="1" refreshError="1">
        <row r="4">
          <cell r="A4" t="str">
            <v>Ambon</v>
          </cell>
          <cell r="B4">
            <v>19</v>
          </cell>
          <cell r="C4">
            <v>53</v>
          </cell>
          <cell r="D4">
            <v>197</v>
          </cell>
          <cell r="E4">
            <v>197</v>
          </cell>
        </row>
        <row r="5">
          <cell r="A5" t="str">
            <v>Anteve1</v>
          </cell>
          <cell r="B5">
            <v>31</v>
          </cell>
          <cell r="C5">
            <v>94</v>
          </cell>
          <cell r="D5">
            <v>241</v>
          </cell>
          <cell r="E5">
            <v>241</v>
          </cell>
        </row>
        <row r="6">
          <cell r="A6" t="str">
            <v>Anteve2</v>
          </cell>
          <cell r="B6">
            <v>35</v>
          </cell>
          <cell r="C6">
            <v>96</v>
          </cell>
          <cell r="D6">
            <v>272</v>
          </cell>
          <cell r="E6">
            <v>272</v>
          </cell>
        </row>
        <row r="7">
          <cell r="A7" t="str">
            <v>Anteve3</v>
          </cell>
          <cell r="B7">
            <v>24</v>
          </cell>
          <cell r="C7">
            <v>61</v>
          </cell>
          <cell r="D7">
            <v>168</v>
          </cell>
          <cell r="E7">
            <v>168</v>
          </cell>
        </row>
        <row r="8">
          <cell r="A8" t="str">
            <v>Badung</v>
          </cell>
          <cell r="B8">
            <v>35</v>
          </cell>
          <cell r="C8">
            <v>97</v>
          </cell>
          <cell r="D8">
            <v>240</v>
          </cell>
          <cell r="E8">
            <v>240</v>
          </cell>
        </row>
        <row r="9">
          <cell r="A9" t="str">
            <v>Balong Bendo</v>
          </cell>
          <cell r="B9">
            <v>29</v>
          </cell>
          <cell r="C9">
            <v>80</v>
          </cell>
          <cell r="D9">
            <v>235</v>
          </cell>
          <cell r="E9">
            <v>235</v>
          </cell>
        </row>
        <row r="10">
          <cell r="A10" t="str">
            <v>BandarJaya</v>
          </cell>
          <cell r="B10">
            <v>26</v>
          </cell>
          <cell r="C10">
            <v>72</v>
          </cell>
          <cell r="D10">
            <v>180</v>
          </cell>
          <cell r="E10">
            <v>180</v>
          </cell>
        </row>
        <row r="11">
          <cell r="A11" t="str">
            <v>Banyuwangi</v>
          </cell>
          <cell r="B11">
            <v>20</v>
          </cell>
          <cell r="C11">
            <v>55</v>
          </cell>
          <cell r="D11">
            <v>134</v>
          </cell>
          <cell r="E11">
            <v>134</v>
          </cell>
        </row>
        <row r="12">
          <cell r="A12" t="str">
            <v>Bengkulu</v>
          </cell>
          <cell r="B12">
            <v>23</v>
          </cell>
          <cell r="C12">
            <v>66</v>
          </cell>
          <cell r="D12">
            <v>157</v>
          </cell>
          <cell r="E12">
            <v>157</v>
          </cell>
        </row>
        <row r="13">
          <cell r="A13" t="str">
            <v>Biak</v>
          </cell>
          <cell r="B13">
            <v>4</v>
          </cell>
          <cell r="C13">
            <v>12</v>
          </cell>
          <cell r="D13">
            <v>35</v>
          </cell>
          <cell r="E13">
            <v>35</v>
          </cell>
        </row>
        <row r="14">
          <cell r="A14" t="str">
            <v>Blah Batuh</v>
          </cell>
          <cell r="B14">
            <v>48</v>
          </cell>
          <cell r="C14">
            <v>133</v>
          </cell>
          <cell r="D14">
            <v>302</v>
          </cell>
          <cell r="E14">
            <v>302</v>
          </cell>
        </row>
        <row r="15">
          <cell r="A15" t="str">
            <v>Bone</v>
          </cell>
          <cell r="B15">
            <v>5</v>
          </cell>
          <cell r="C15">
            <v>14</v>
          </cell>
          <cell r="D15">
            <v>41</v>
          </cell>
          <cell r="E15">
            <v>41</v>
          </cell>
        </row>
        <row r="16">
          <cell r="A16" t="str">
            <v>Bulukumba</v>
          </cell>
          <cell r="B16">
            <v>8</v>
          </cell>
          <cell r="C16">
            <v>24</v>
          </cell>
          <cell r="D16">
            <v>61</v>
          </cell>
          <cell r="E16">
            <v>61</v>
          </cell>
        </row>
        <row r="17">
          <cell r="A17" t="str">
            <v>Fakfak</v>
          </cell>
          <cell r="B17">
            <v>3</v>
          </cell>
          <cell r="C17">
            <v>9</v>
          </cell>
          <cell r="D17">
            <v>25</v>
          </cell>
          <cell r="E17">
            <v>25</v>
          </cell>
        </row>
        <row r="18">
          <cell r="A18" t="str">
            <v>Gombel1</v>
          </cell>
          <cell r="B18">
            <v>29</v>
          </cell>
          <cell r="C18">
            <v>85</v>
          </cell>
          <cell r="D18">
            <v>233</v>
          </cell>
          <cell r="E18">
            <v>233</v>
          </cell>
        </row>
        <row r="19">
          <cell r="A19" t="str">
            <v>Gombel2</v>
          </cell>
          <cell r="B19">
            <v>17</v>
          </cell>
          <cell r="C19">
            <v>50</v>
          </cell>
          <cell r="D19">
            <v>135</v>
          </cell>
          <cell r="E19">
            <v>135</v>
          </cell>
        </row>
        <row r="20">
          <cell r="A20" t="str">
            <v>Gombel3</v>
          </cell>
          <cell r="B20">
            <v>20</v>
          </cell>
          <cell r="C20">
            <v>56</v>
          </cell>
          <cell r="D20">
            <v>144</v>
          </cell>
          <cell r="E20">
            <v>144</v>
          </cell>
        </row>
        <row r="21">
          <cell r="A21" t="str">
            <v>Gorontalo</v>
          </cell>
          <cell r="B21">
            <v>16</v>
          </cell>
          <cell r="C21">
            <v>48</v>
          </cell>
          <cell r="D21">
            <v>138</v>
          </cell>
          <cell r="E21">
            <v>138</v>
          </cell>
        </row>
        <row r="22">
          <cell r="A22" t="str">
            <v>Hiltop1</v>
          </cell>
          <cell r="B22">
            <v>31</v>
          </cell>
          <cell r="C22">
            <v>93</v>
          </cell>
          <cell r="D22">
            <v>338</v>
          </cell>
          <cell r="E22">
            <v>338</v>
          </cell>
        </row>
        <row r="23">
          <cell r="A23" t="str">
            <v>Hiltop2</v>
          </cell>
          <cell r="B23">
            <v>32</v>
          </cell>
          <cell r="C23">
            <v>93</v>
          </cell>
          <cell r="D23">
            <v>263</v>
          </cell>
          <cell r="E23">
            <v>263</v>
          </cell>
        </row>
        <row r="24">
          <cell r="A24" t="str">
            <v>Jambi1</v>
          </cell>
          <cell r="B24">
            <v>20</v>
          </cell>
          <cell r="C24">
            <v>60</v>
          </cell>
          <cell r="D24">
            <v>152</v>
          </cell>
          <cell r="E24">
            <v>152</v>
          </cell>
        </row>
        <row r="25">
          <cell r="A25" t="str">
            <v>Jambi2</v>
          </cell>
          <cell r="B25">
            <v>42</v>
          </cell>
          <cell r="C25">
            <v>121</v>
          </cell>
          <cell r="D25">
            <v>296</v>
          </cell>
          <cell r="E25">
            <v>296</v>
          </cell>
        </row>
        <row r="26">
          <cell r="A26" t="str">
            <v>Jayapura</v>
          </cell>
          <cell r="B26">
            <v>26</v>
          </cell>
          <cell r="C26">
            <v>73</v>
          </cell>
          <cell r="D26">
            <v>254</v>
          </cell>
          <cell r="E26">
            <v>254</v>
          </cell>
        </row>
        <row r="27">
          <cell r="A27" t="str">
            <v>Jember</v>
          </cell>
          <cell r="B27">
            <v>37</v>
          </cell>
          <cell r="C27">
            <v>96</v>
          </cell>
          <cell r="D27">
            <v>233</v>
          </cell>
          <cell r="E27">
            <v>233</v>
          </cell>
        </row>
        <row r="28">
          <cell r="A28" t="str">
            <v>Jember Bukit</v>
          </cell>
          <cell r="B28">
            <v>19</v>
          </cell>
          <cell r="C28">
            <v>53</v>
          </cell>
          <cell r="D28">
            <v>139</v>
          </cell>
          <cell r="E28">
            <v>139</v>
          </cell>
        </row>
        <row r="29">
          <cell r="A29" t="str">
            <v>Kacang Pedang</v>
          </cell>
          <cell r="B29">
            <v>12</v>
          </cell>
          <cell r="C29">
            <v>32</v>
          </cell>
          <cell r="D29">
            <v>101</v>
          </cell>
          <cell r="E29">
            <v>101</v>
          </cell>
        </row>
        <row r="30">
          <cell r="A30" t="str">
            <v>Kaliasam</v>
          </cell>
          <cell r="B30">
            <v>14</v>
          </cell>
          <cell r="C30">
            <v>38</v>
          </cell>
          <cell r="D30">
            <v>81</v>
          </cell>
          <cell r="E30">
            <v>81</v>
          </cell>
        </row>
        <row r="31">
          <cell r="A31" t="str">
            <v>Kendari</v>
          </cell>
          <cell r="B31">
            <v>14</v>
          </cell>
          <cell r="C31">
            <v>41</v>
          </cell>
          <cell r="D31">
            <v>117</v>
          </cell>
          <cell r="E31">
            <v>117</v>
          </cell>
        </row>
        <row r="32">
          <cell r="A32" t="str">
            <v>Kerobokan1</v>
          </cell>
          <cell r="B32">
            <v>29</v>
          </cell>
          <cell r="C32">
            <v>79</v>
          </cell>
          <cell r="D32">
            <v>208</v>
          </cell>
          <cell r="E32">
            <v>208</v>
          </cell>
        </row>
        <row r="33">
          <cell r="A33" t="str">
            <v>Kerobokan2</v>
          </cell>
          <cell r="B33">
            <v>43</v>
          </cell>
          <cell r="C33">
            <v>93</v>
          </cell>
          <cell r="D33">
            <v>228</v>
          </cell>
          <cell r="E33">
            <v>228</v>
          </cell>
        </row>
        <row r="34">
          <cell r="A34" t="str">
            <v>Kerobokan3</v>
          </cell>
          <cell r="B34">
            <v>48</v>
          </cell>
          <cell r="C34">
            <v>114</v>
          </cell>
          <cell r="D34">
            <v>245</v>
          </cell>
          <cell r="E34">
            <v>245</v>
          </cell>
        </row>
        <row r="35">
          <cell r="A35" t="str">
            <v>Ketintang1</v>
          </cell>
          <cell r="B35">
            <v>21</v>
          </cell>
          <cell r="C35">
            <v>60</v>
          </cell>
          <cell r="D35">
            <v>169</v>
          </cell>
          <cell r="E35">
            <v>169</v>
          </cell>
        </row>
        <row r="36">
          <cell r="A36" t="str">
            <v>Ketintang2</v>
          </cell>
          <cell r="B36">
            <v>25</v>
          </cell>
          <cell r="C36">
            <v>73</v>
          </cell>
          <cell r="D36">
            <v>208</v>
          </cell>
          <cell r="E36">
            <v>208</v>
          </cell>
        </row>
        <row r="37">
          <cell r="A37" t="str">
            <v>Ketintang3</v>
          </cell>
          <cell r="B37">
            <v>20</v>
          </cell>
          <cell r="C37">
            <v>60</v>
          </cell>
          <cell r="D37">
            <v>175</v>
          </cell>
          <cell r="E37">
            <v>175</v>
          </cell>
        </row>
        <row r="38">
          <cell r="A38" t="str">
            <v>Ketintang4</v>
          </cell>
          <cell r="B38">
            <v>28</v>
          </cell>
          <cell r="C38">
            <v>82</v>
          </cell>
          <cell r="D38">
            <v>236</v>
          </cell>
          <cell r="E38">
            <v>236</v>
          </cell>
        </row>
        <row r="39">
          <cell r="A39" t="str">
            <v>Kotamubago</v>
          </cell>
          <cell r="B39">
            <v>3</v>
          </cell>
          <cell r="C39">
            <v>9</v>
          </cell>
          <cell r="D39">
            <v>31</v>
          </cell>
          <cell r="E39">
            <v>31</v>
          </cell>
        </row>
        <row r="40">
          <cell r="A40" t="str">
            <v>Kudus</v>
          </cell>
          <cell r="B40">
            <v>21</v>
          </cell>
          <cell r="C40">
            <v>63</v>
          </cell>
          <cell r="D40">
            <v>199</v>
          </cell>
          <cell r="E40">
            <v>199</v>
          </cell>
        </row>
        <row r="41">
          <cell r="A41" t="str">
            <v>Kupang</v>
          </cell>
          <cell r="B41">
            <v>26</v>
          </cell>
          <cell r="C41">
            <v>76</v>
          </cell>
          <cell r="D41">
            <v>212</v>
          </cell>
          <cell r="E41">
            <v>212</v>
          </cell>
        </row>
        <row r="42">
          <cell r="A42" t="str">
            <v>Lampung1</v>
          </cell>
          <cell r="B42">
            <v>24</v>
          </cell>
          <cell r="C42">
            <v>71</v>
          </cell>
          <cell r="D42">
            <v>183</v>
          </cell>
          <cell r="E42">
            <v>183</v>
          </cell>
        </row>
        <row r="43">
          <cell r="A43" t="str">
            <v>Lampung2</v>
          </cell>
          <cell r="B43">
            <v>25</v>
          </cell>
          <cell r="C43">
            <v>68</v>
          </cell>
          <cell r="D43">
            <v>222</v>
          </cell>
          <cell r="E43">
            <v>222</v>
          </cell>
        </row>
        <row r="44">
          <cell r="A44" t="str">
            <v>Lampung3</v>
          </cell>
          <cell r="B44">
            <v>35</v>
          </cell>
          <cell r="C44">
            <v>99</v>
          </cell>
          <cell r="D44">
            <v>260</v>
          </cell>
          <cell r="E44">
            <v>260</v>
          </cell>
        </row>
        <row r="45">
          <cell r="A45" t="str">
            <v>Madiun1</v>
          </cell>
          <cell r="B45">
            <v>22</v>
          </cell>
          <cell r="C45">
            <v>63</v>
          </cell>
          <cell r="D45">
            <v>154</v>
          </cell>
          <cell r="E45">
            <v>154</v>
          </cell>
        </row>
        <row r="46">
          <cell r="A46" t="str">
            <v>Madiun2</v>
          </cell>
          <cell r="B46">
            <v>24</v>
          </cell>
          <cell r="C46">
            <v>65</v>
          </cell>
          <cell r="D46">
            <v>197</v>
          </cell>
          <cell r="E46">
            <v>197</v>
          </cell>
        </row>
        <row r="47">
          <cell r="A47" t="str">
            <v>Madiun3</v>
          </cell>
          <cell r="B47">
            <v>14</v>
          </cell>
          <cell r="C47">
            <v>42</v>
          </cell>
          <cell r="D47">
            <v>127</v>
          </cell>
          <cell r="E47">
            <v>127</v>
          </cell>
        </row>
        <row r="48">
          <cell r="A48" t="str">
            <v>Malang1</v>
          </cell>
          <cell r="B48">
            <v>34</v>
          </cell>
          <cell r="C48">
            <v>92</v>
          </cell>
          <cell r="D48">
            <v>240</v>
          </cell>
          <cell r="E48">
            <v>240</v>
          </cell>
        </row>
        <row r="49">
          <cell r="A49" t="str">
            <v>Manado3</v>
          </cell>
          <cell r="B49">
            <v>24</v>
          </cell>
          <cell r="C49">
            <v>71</v>
          </cell>
          <cell r="D49">
            <v>180</v>
          </cell>
          <cell r="E49">
            <v>180</v>
          </cell>
        </row>
        <row r="50">
          <cell r="A50" t="str">
            <v>Manokwari</v>
          </cell>
          <cell r="B50">
            <v>4</v>
          </cell>
          <cell r="C50">
            <v>11</v>
          </cell>
          <cell r="D50">
            <v>39</v>
          </cell>
          <cell r="E50">
            <v>39</v>
          </cell>
        </row>
        <row r="51">
          <cell r="A51" t="str">
            <v>Manyar1</v>
          </cell>
          <cell r="B51">
            <v>23</v>
          </cell>
          <cell r="C51">
            <v>70</v>
          </cell>
          <cell r="D51">
            <v>186</v>
          </cell>
          <cell r="E51">
            <v>186</v>
          </cell>
        </row>
        <row r="52">
          <cell r="A52" t="str">
            <v>Manyar2</v>
          </cell>
          <cell r="B52">
            <v>18</v>
          </cell>
          <cell r="C52">
            <v>52</v>
          </cell>
          <cell r="D52">
            <v>141</v>
          </cell>
          <cell r="E52">
            <v>141</v>
          </cell>
        </row>
        <row r="53">
          <cell r="A53" t="str">
            <v>Manyar3</v>
          </cell>
          <cell r="B53">
            <v>27</v>
          </cell>
          <cell r="C53">
            <v>63</v>
          </cell>
          <cell r="D53">
            <v>166</v>
          </cell>
          <cell r="E53">
            <v>166</v>
          </cell>
        </row>
        <row r="54">
          <cell r="A54" t="str">
            <v>Mataram</v>
          </cell>
          <cell r="B54">
            <v>18</v>
          </cell>
          <cell r="C54">
            <v>52</v>
          </cell>
          <cell r="D54">
            <v>127</v>
          </cell>
          <cell r="E54">
            <v>127</v>
          </cell>
        </row>
        <row r="55">
          <cell r="A55" t="str">
            <v>Merauke</v>
          </cell>
          <cell r="B55">
            <v>5</v>
          </cell>
          <cell r="C55">
            <v>15</v>
          </cell>
          <cell r="D55">
            <v>49</v>
          </cell>
          <cell r="E55">
            <v>49</v>
          </cell>
        </row>
        <row r="56">
          <cell r="A56" t="str">
            <v>Nabire</v>
          </cell>
          <cell r="B56">
            <v>3</v>
          </cell>
          <cell r="C56">
            <v>9</v>
          </cell>
          <cell r="D56">
            <v>29</v>
          </cell>
          <cell r="E56">
            <v>29</v>
          </cell>
        </row>
        <row r="57">
          <cell r="A57" t="str">
            <v>Palopo</v>
          </cell>
          <cell r="B57">
            <v>12</v>
          </cell>
          <cell r="C57">
            <v>34</v>
          </cell>
          <cell r="D57">
            <v>97</v>
          </cell>
          <cell r="E57">
            <v>97</v>
          </cell>
        </row>
        <row r="58">
          <cell r="A58" t="str">
            <v>Palu</v>
          </cell>
          <cell r="B58">
            <v>20</v>
          </cell>
          <cell r="C58">
            <v>54</v>
          </cell>
          <cell r="D58">
            <v>160</v>
          </cell>
          <cell r="E58">
            <v>160</v>
          </cell>
        </row>
        <row r="59">
          <cell r="A59" t="str">
            <v>Panjitilar</v>
          </cell>
          <cell r="B59">
            <v>35</v>
          </cell>
          <cell r="C59">
            <v>94</v>
          </cell>
          <cell r="D59">
            <v>229</v>
          </cell>
          <cell r="E59">
            <v>229</v>
          </cell>
        </row>
        <row r="60">
          <cell r="A60" t="str">
            <v>Papar1</v>
          </cell>
          <cell r="B60">
            <v>19</v>
          </cell>
          <cell r="C60">
            <v>57</v>
          </cell>
          <cell r="D60">
            <v>159</v>
          </cell>
          <cell r="E60">
            <v>159</v>
          </cell>
        </row>
        <row r="61">
          <cell r="A61" t="str">
            <v>Papar2</v>
          </cell>
          <cell r="B61">
            <v>31</v>
          </cell>
          <cell r="C61">
            <v>86</v>
          </cell>
          <cell r="D61">
            <v>258</v>
          </cell>
          <cell r="E61">
            <v>258</v>
          </cell>
        </row>
        <row r="62">
          <cell r="A62" t="str">
            <v>Pare pare</v>
          </cell>
          <cell r="B62">
            <v>26</v>
          </cell>
          <cell r="C62">
            <v>70</v>
          </cell>
          <cell r="D62">
            <v>196</v>
          </cell>
          <cell r="E62">
            <v>196</v>
          </cell>
        </row>
        <row r="63">
          <cell r="A63" t="str">
            <v>Pekalongan</v>
          </cell>
          <cell r="B63">
            <v>31</v>
          </cell>
          <cell r="C63">
            <v>86</v>
          </cell>
          <cell r="D63">
            <v>191</v>
          </cell>
          <cell r="E63">
            <v>191</v>
          </cell>
        </row>
        <row r="64">
          <cell r="A64" t="str">
            <v>Pettarani</v>
          </cell>
          <cell r="B64">
            <v>23</v>
          </cell>
          <cell r="C64">
            <v>62</v>
          </cell>
          <cell r="D64">
            <v>195</v>
          </cell>
          <cell r="E64">
            <v>195</v>
          </cell>
        </row>
        <row r="65">
          <cell r="A65" t="str">
            <v>PgklPinang</v>
          </cell>
          <cell r="B65">
            <v>17</v>
          </cell>
          <cell r="C65">
            <v>48</v>
          </cell>
          <cell r="D65">
            <v>140</v>
          </cell>
          <cell r="E65">
            <v>140</v>
          </cell>
        </row>
        <row r="66">
          <cell r="A66" t="str">
            <v>PlbgCentrum</v>
          </cell>
          <cell r="B66">
            <v>22</v>
          </cell>
          <cell r="C66">
            <v>60</v>
          </cell>
          <cell r="D66">
            <v>151</v>
          </cell>
          <cell r="E66">
            <v>151</v>
          </cell>
        </row>
        <row r="67">
          <cell r="A67" t="str">
            <v>PlbgGrapari1</v>
          </cell>
          <cell r="B67">
            <v>25</v>
          </cell>
          <cell r="C67">
            <v>75</v>
          </cell>
          <cell r="D67">
            <v>210</v>
          </cell>
          <cell r="E67">
            <v>210</v>
          </cell>
        </row>
        <row r="68">
          <cell r="A68" t="str">
            <v>PlbgGrapari2</v>
          </cell>
          <cell r="B68">
            <v>46</v>
          </cell>
          <cell r="C68">
            <v>122</v>
          </cell>
          <cell r="D68">
            <v>337</v>
          </cell>
          <cell r="E68">
            <v>337</v>
          </cell>
        </row>
        <row r="69">
          <cell r="A69" t="str">
            <v>PlbgGrapari3</v>
          </cell>
          <cell r="B69">
            <v>16</v>
          </cell>
          <cell r="C69">
            <v>46</v>
          </cell>
          <cell r="D69">
            <v>113</v>
          </cell>
          <cell r="E69">
            <v>113</v>
          </cell>
        </row>
        <row r="70">
          <cell r="A70" t="str">
            <v>Pontianak</v>
          </cell>
          <cell r="B70">
            <v>18</v>
          </cell>
          <cell r="C70">
            <v>49</v>
          </cell>
          <cell r="D70">
            <v>127</v>
          </cell>
          <cell r="E70">
            <v>127</v>
          </cell>
        </row>
        <row r="71">
          <cell r="A71" t="str">
            <v>Prabumulih</v>
          </cell>
          <cell r="B71">
            <v>24</v>
          </cell>
          <cell r="C71">
            <v>68</v>
          </cell>
          <cell r="D71">
            <v>173</v>
          </cell>
          <cell r="E71">
            <v>173</v>
          </cell>
        </row>
        <row r="72">
          <cell r="A72" t="str">
            <v>Purwokerto1</v>
          </cell>
          <cell r="B72">
            <v>17</v>
          </cell>
          <cell r="C72">
            <v>51</v>
          </cell>
          <cell r="D72">
            <v>137</v>
          </cell>
          <cell r="E72">
            <v>137</v>
          </cell>
        </row>
        <row r="73">
          <cell r="A73" t="str">
            <v>Purwokerto2</v>
          </cell>
          <cell r="B73">
            <v>25</v>
          </cell>
          <cell r="C73">
            <v>72</v>
          </cell>
          <cell r="D73">
            <v>208</v>
          </cell>
          <cell r="E73">
            <v>208</v>
          </cell>
        </row>
        <row r="74">
          <cell r="A74" t="str">
            <v>Purwokerto3</v>
          </cell>
          <cell r="B74">
            <v>24</v>
          </cell>
          <cell r="C74">
            <v>72</v>
          </cell>
          <cell r="D74">
            <v>188</v>
          </cell>
          <cell r="E74">
            <v>188</v>
          </cell>
        </row>
        <row r="75">
          <cell r="A75" t="str">
            <v>Rantepao</v>
          </cell>
          <cell r="B75">
            <v>4</v>
          </cell>
          <cell r="C75">
            <v>12</v>
          </cell>
          <cell r="D75">
            <v>36</v>
          </cell>
          <cell r="E75">
            <v>36</v>
          </cell>
        </row>
        <row r="76">
          <cell r="A76" t="str">
            <v>Sanggau</v>
          </cell>
          <cell r="B76">
            <v>9</v>
          </cell>
          <cell r="C76">
            <v>25</v>
          </cell>
          <cell r="D76">
            <v>64</v>
          </cell>
          <cell r="E76">
            <v>64</v>
          </cell>
        </row>
        <row r="77">
          <cell r="A77" t="str">
            <v>Sangir Talaud</v>
          </cell>
          <cell r="B77">
            <v>1</v>
          </cell>
          <cell r="C77">
            <v>3</v>
          </cell>
          <cell r="D77">
            <v>10</v>
          </cell>
          <cell r="E77">
            <v>10</v>
          </cell>
        </row>
        <row r="78">
          <cell r="A78" t="str">
            <v>Sawojajar1</v>
          </cell>
          <cell r="B78">
            <v>26</v>
          </cell>
          <cell r="C78">
            <v>63</v>
          </cell>
          <cell r="D78">
            <v>176</v>
          </cell>
          <cell r="E78">
            <v>176</v>
          </cell>
        </row>
        <row r="79">
          <cell r="A79" t="str">
            <v>Sawojajar2</v>
          </cell>
          <cell r="B79">
            <v>25</v>
          </cell>
          <cell r="C79">
            <v>67</v>
          </cell>
          <cell r="D79">
            <v>208</v>
          </cell>
          <cell r="E79">
            <v>208</v>
          </cell>
        </row>
        <row r="80">
          <cell r="A80" t="str">
            <v>Semarang1</v>
          </cell>
          <cell r="B80">
            <v>39</v>
          </cell>
          <cell r="C80">
            <v>105</v>
          </cell>
          <cell r="D80">
            <v>293</v>
          </cell>
          <cell r="E80">
            <v>293</v>
          </cell>
        </row>
        <row r="81">
          <cell r="A81" t="str">
            <v>Semarang2</v>
          </cell>
          <cell r="B81">
            <v>28</v>
          </cell>
          <cell r="C81">
            <v>82</v>
          </cell>
          <cell r="D81">
            <v>223</v>
          </cell>
          <cell r="E81">
            <v>223</v>
          </cell>
        </row>
        <row r="82">
          <cell r="A82" t="str">
            <v>Semarang3</v>
          </cell>
          <cell r="B82">
            <v>18</v>
          </cell>
          <cell r="C82">
            <v>53</v>
          </cell>
          <cell r="D82">
            <v>149</v>
          </cell>
          <cell r="E82">
            <v>149</v>
          </cell>
        </row>
        <row r="83">
          <cell r="A83" t="str">
            <v>Serui</v>
          </cell>
          <cell r="B83">
            <v>1</v>
          </cell>
          <cell r="C83">
            <v>3</v>
          </cell>
          <cell r="D83">
            <v>15</v>
          </cell>
          <cell r="E83">
            <v>15</v>
          </cell>
        </row>
        <row r="84">
          <cell r="A84" t="str">
            <v>Singaraja</v>
          </cell>
          <cell r="B84">
            <v>25</v>
          </cell>
          <cell r="C84">
            <v>61</v>
          </cell>
          <cell r="D84">
            <v>139</v>
          </cell>
          <cell r="E84">
            <v>139</v>
          </cell>
        </row>
        <row r="85">
          <cell r="A85" t="str">
            <v>Singkawang</v>
          </cell>
          <cell r="B85">
            <v>19</v>
          </cell>
          <cell r="C85">
            <v>55</v>
          </cell>
          <cell r="D85">
            <v>162</v>
          </cell>
          <cell r="E85">
            <v>162</v>
          </cell>
        </row>
        <row r="86">
          <cell r="A86" t="str">
            <v>Solo1</v>
          </cell>
          <cell r="B86">
            <v>28</v>
          </cell>
          <cell r="C86">
            <v>83</v>
          </cell>
          <cell r="D86">
            <v>220</v>
          </cell>
          <cell r="E86">
            <v>220</v>
          </cell>
        </row>
        <row r="87">
          <cell r="A87" t="str">
            <v>Solo2</v>
          </cell>
          <cell r="B87">
            <v>37</v>
          </cell>
          <cell r="C87">
            <v>107</v>
          </cell>
          <cell r="D87">
            <v>293</v>
          </cell>
          <cell r="E87">
            <v>293</v>
          </cell>
        </row>
        <row r="88">
          <cell r="A88" t="str">
            <v>Solo3</v>
          </cell>
          <cell r="B88">
            <v>23</v>
          </cell>
          <cell r="C88">
            <v>63</v>
          </cell>
          <cell r="D88">
            <v>176</v>
          </cell>
          <cell r="E88">
            <v>176</v>
          </cell>
        </row>
        <row r="89">
          <cell r="A89" t="str">
            <v>Soroako</v>
          </cell>
          <cell r="B89">
            <v>7</v>
          </cell>
          <cell r="C89">
            <v>18</v>
          </cell>
          <cell r="D89">
            <v>44</v>
          </cell>
          <cell r="E89">
            <v>44</v>
          </cell>
        </row>
        <row r="90">
          <cell r="A90" t="str">
            <v>Sorong</v>
          </cell>
          <cell r="B90">
            <v>11</v>
          </cell>
          <cell r="C90">
            <v>34</v>
          </cell>
          <cell r="D90">
            <v>111</v>
          </cell>
          <cell r="E90">
            <v>111</v>
          </cell>
        </row>
        <row r="91">
          <cell r="A91" t="str">
            <v>Surabaya1</v>
          </cell>
          <cell r="B91">
            <v>41</v>
          </cell>
          <cell r="C91">
            <v>104</v>
          </cell>
          <cell r="D91">
            <v>277</v>
          </cell>
          <cell r="E91">
            <v>277</v>
          </cell>
        </row>
        <row r="92">
          <cell r="A92" t="str">
            <v>Surabaya3</v>
          </cell>
          <cell r="B92">
            <v>18</v>
          </cell>
          <cell r="C92">
            <v>53</v>
          </cell>
          <cell r="D92">
            <v>136</v>
          </cell>
          <cell r="E92">
            <v>136</v>
          </cell>
        </row>
        <row r="93">
          <cell r="A93" t="str">
            <v>Tanjung Redep</v>
          </cell>
          <cell r="B93">
            <v>7</v>
          </cell>
          <cell r="C93">
            <v>21</v>
          </cell>
          <cell r="D93">
            <v>66</v>
          </cell>
          <cell r="E93">
            <v>66</v>
          </cell>
        </row>
        <row r="94">
          <cell r="A94" t="str">
            <v>Tarakan</v>
          </cell>
          <cell r="B94">
            <v>20</v>
          </cell>
          <cell r="C94">
            <v>59</v>
          </cell>
          <cell r="D94">
            <v>220</v>
          </cell>
          <cell r="E94">
            <v>220</v>
          </cell>
        </row>
        <row r="95">
          <cell r="A95" t="str">
            <v>Telkomas1</v>
          </cell>
          <cell r="B95">
            <v>31</v>
          </cell>
          <cell r="C95">
            <v>81</v>
          </cell>
          <cell r="D95">
            <v>277</v>
          </cell>
          <cell r="E95">
            <v>277</v>
          </cell>
        </row>
        <row r="96">
          <cell r="A96" t="str">
            <v>Telkomas2</v>
          </cell>
          <cell r="B96">
            <v>16</v>
          </cell>
          <cell r="C96">
            <v>49</v>
          </cell>
          <cell r="D96">
            <v>146</v>
          </cell>
          <cell r="E96">
            <v>146</v>
          </cell>
        </row>
        <row r="97">
          <cell r="A97" t="str">
            <v>Telkomas3</v>
          </cell>
          <cell r="B97">
            <v>24</v>
          </cell>
          <cell r="C97">
            <v>67</v>
          </cell>
          <cell r="D97">
            <v>203</v>
          </cell>
          <cell r="E97">
            <v>203</v>
          </cell>
        </row>
        <row r="98">
          <cell r="A98" t="str">
            <v>Ternate</v>
          </cell>
          <cell r="B98">
            <v>7</v>
          </cell>
          <cell r="C98">
            <v>21</v>
          </cell>
          <cell r="D98">
            <v>75</v>
          </cell>
          <cell r="E98">
            <v>75</v>
          </cell>
        </row>
        <row r="99">
          <cell r="A99" t="str">
            <v>Timika</v>
          </cell>
          <cell r="B99">
            <v>15</v>
          </cell>
          <cell r="C99">
            <v>43</v>
          </cell>
          <cell r="D99">
            <v>130</v>
          </cell>
          <cell r="E99">
            <v>130</v>
          </cell>
        </row>
        <row r="100">
          <cell r="A100" t="str">
            <v>TlgKelapa</v>
          </cell>
          <cell r="B100">
            <v>25</v>
          </cell>
          <cell r="C100">
            <v>72</v>
          </cell>
          <cell r="D100">
            <v>190</v>
          </cell>
          <cell r="E100">
            <v>190</v>
          </cell>
        </row>
        <row r="101">
          <cell r="A101" t="str">
            <v>Ubung1</v>
          </cell>
          <cell r="B101">
            <v>26</v>
          </cell>
          <cell r="C101">
            <v>59</v>
          </cell>
          <cell r="D101">
            <v>148</v>
          </cell>
          <cell r="E101">
            <v>148</v>
          </cell>
        </row>
        <row r="102">
          <cell r="A102" t="str">
            <v>Ubung2</v>
          </cell>
          <cell r="B102">
            <v>25</v>
          </cell>
          <cell r="C102">
            <v>61</v>
          </cell>
          <cell r="D102">
            <v>169</v>
          </cell>
          <cell r="E102">
            <v>169</v>
          </cell>
        </row>
        <row r="103">
          <cell r="A103" t="str">
            <v>Ujungpandang</v>
          </cell>
          <cell r="B103">
            <v>32</v>
          </cell>
          <cell r="C103">
            <v>93</v>
          </cell>
          <cell r="D103">
            <v>234</v>
          </cell>
          <cell r="E103">
            <v>234</v>
          </cell>
        </row>
        <row r="104">
          <cell r="A104" t="str">
            <v>Wamena</v>
          </cell>
          <cell r="B104">
            <v>2</v>
          </cell>
          <cell r="C104">
            <v>7</v>
          </cell>
          <cell r="D104">
            <v>22</v>
          </cell>
          <cell r="E104">
            <v>22</v>
          </cell>
        </row>
        <row r="105">
          <cell r="A105" t="str">
            <v>Yogyakarta1</v>
          </cell>
          <cell r="B105">
            <v>24</v>
          </cell>
          <cell r="C105">
            <v>68</v>
          </cell>
          <cell r="D105">
            <v>172</v>
          </cell>
          <cell r="E105">
            <v>172</v>
          </cell>
        </row>
        <row r="106">
          <cell r="A106" t="str">
            <v>Yogyakarta2</v>
          </cell>
          <cell r="B106">
            <v>21</v>
          </cell>
          <cell r="C106">
            <v>62</v>
          </cell>
          <cell r="D106">
            <v>169</v>
          </cell>
          <cell r="E106">
            <v>169</v>
          </cell>
        </row>
        <row r="107">
          <cell r="A107" t="str">
            <v>Yogyakarta3</v>
          </cell>
          <cell r="B107">
            <v>30</v>
          </cell>
          <cell r="C107">
            <v>72</v>
          </cell>
          <cell r="D107">
            <v>203</v>
          </cell>
          <cell r="E107">
            <v>203</v>
          </cell>
        </row>
        <row r="108">
          <cell r="A108" t="str">
            <v>Yogyakarta4</v>
          </cell>
          <cell r="B108">
            <v>24</v>
          </cell>
          <cell r="C108">
            <v>70</v>
          </cell>
          <cell r="D108">
            <v>211</v>
          </cell>
          <cell r="E108">
            <v>211</v>
          </cell>
        </row>
        <row r="109">
          <cell r="A109" t="str">
            <v>Yogyakarta5</v>
          </cell>
          <cell r="B109">
            <v>18</v>
          </cell>
          <cell r="C109">
            <v>54</v>
          </cell>
          <cell r="D109">
            <v>168</v>
          </cell>
          <cell r="E109">
            <v>168</v>
          </cell>
        </row>
      </sheetData>
      <sheetData sheetId="2" refreshError="1">
        <row r="3">
          <cell r="C3" t="str">
            <v>PlbgCentrum</v>
          </cell>
          <cell r="D3">
            <v>22</v>
          </cell>
          <cell r="E3">
            <v>60</v>
          </cell>
          <cell r="F3">
            <v>151</v>
          </cell>
        </row>
        <row r="4">
          <cell r="C4" t="str">
            <v>PlbgGrapari1</v>
          </cell>
          <cell r="D4">
            <v>25</v>
          </cell>
          <cell r="E4">
            <v>75</v>
          </cell>
          <cell r="F4">
            <v>210</v>
          </cell>
        </row>
        <row r="5">
          <cell r="C5" t="str">
            <v>PlbgGrapari2</v>
          </cell>
          <cell r="D5">
            <v>46</v>
          </cell>
          <cell r="E5">
            <v>122</v>
          </cell>
          <cell r="F5">
            <v>337</v>
          </cell>
        </row>
        <row r="6">
          <cell r="C6" t="str">
            <v>PlbgGrapari3</v>
          </cell>
          <cell r="D6">
            <v>16</v>
          </cell>
          <cell r="E6">
            <v>46</v>
          </cell>
          <cell r="F6">
            <v>113</v>
          </cell>
        </row>
        <row r="7">
          <cell r="C7" t="str">
            <v>PgklPinang</v>
          </cell>
          <cell r="D7">
            <v>17</v>
          </cell>
          <cell r="E7">
            <v>48</v>
          </cell>
          <cell r="F7">
            <v>140</v>
          </cell>
        </row>
        <row r="8">
          <cell r="C8" t="str">
            <v>Kacang Pedang</v>
          </cell>
          <cell r="D8">
            <v>12</v>
          </cell>
          <cell r="E8">
            <v>32</v>
          </cell>
          <cell r="F8">
            <v>101</v>
          </cell>
        </row>
        <row r="9">
          <cell r="C9" t="str">
            <v>Prabumulih</v>
          </cell>
          <cell r="D9">
            <v>24</v>
          </cell>
          <cell r="E9">
            <v>68</v>
          </cell>
          <cell r="F9">
            <v>173</v>
          </cell>
        </row>
        <row r="10">
          <cell r="C10" t="str">
            <v>TlgKelapa</v>
          </cell>
          <cell r="D10">
            <v>25</v>
          </cell>
          <cell r="E10">
            <v>72</v>
          </cell>
          <cell r="F10">
            <v>190</v>
          </cell>
        </row>
        <row r="11">
          <cell r="B11" t="str">
            <v>Palembang</v>
          </cell>
          <cell r="D11">
            <v>187</v>
          </cell>
          <cell r="E11">
            <v>523</v>
          </cell>
          <cell r="F11">
            <v>1415</v>
          </cell>
          <cell r="H11">
            <v>8</v>
          </cell>
        </row>
        <row r="12">
          <cell r="B12" t="str">
            <v>Bengkulu</v>
          </cell>
          <cell r="C12" t="str">
            <v>Bengkulu</v>
          </cell>
          <cell r="D12">
            <v>23</v>
          </cell>
          <cell r="E12">
            <v>66</v>
          </cell>
          <cell r="F12">
            <v>157</v>
          </cell>
          <cell r="H12">
            <v>1</v>
          </cell>
        </row>
        <row r="13">
          <cell r="C13" t="str">
            <v>Jambi1</v>
          </cell>
          <cell r="D13">
            <v>20</v>
          </cell>
          <cell r="E13">
            <v>60</v>
          </cell>
          <cell r="F13">
            <v>152</v>
          </cell>
        </row>
        <row r="14">
          <cell r="C14" t="str">
            <v>Jambi2</v>
          </cell>
          <cell r="D14">
            <v>42</v>
          </cell>
          <cell r="E14">
            <v>121</v>
          </cell>
          <cell r="F14">
            <v>296</v>
          </cell>
        </row>
        <row r="15">
          <cell r="B15" t="str">
            <v>Jambi</v>
          </cell>
          <cell r="D15">
            <v>62</v>
          </cell>
          <cell r="E15">
            <v>181</v>
          </cell>
          <cell r="F15">
            <v>448</v>
          </cell>
          <cell r="H15">
            <v>2</v>
          </cell>
        </row>
        <row r="16">
          <cell r="C16" t="str">
            <v>BandarJaya</v>
          </cell>
          <cell r="D16">
            <v>26</v>
          </cell>
          <cell r="E16">
            <v>72</v>
          </cell>
          <cell r="F16">
            <v>180</v>
          </cell>
        </row>
        <row r="17">
          <cell r="C17" t="str">
            <v>Lampung1</v>
          </cell>
          <cell r="D17">
            <v>24</v>
          </cell>
          <cell r="E17">
            <v>71</v>
          </cell>
          <cell r="F17">
            <v>183</v>
          </cell>
        </row>
        <row r="18">
          <cell r="C18" t="str">
            <v>Lampung2</v>
          </cell>
          <cell r="D18">
            <v>25</v>
          </cell>
          <cell r="E18">
            <v>68</v>
          </cell>
          <cell r="F18">
            <v>222</v>
          </cell>
        </row>
        <row r="19">
          <cell r="C19" t="str">
            <v>Lampung3</v>
          </cell>
          <cell r="D19">
            <v>35</v>
          </cell>
          <cell r="E19">
            <v>99</v>
          </cell>
          <cell r="F19">
            <v>260</v>
          </cell>
        </row>
        <row r="20">
          <cell r="B20" t="str">
            <v>Lampung</v>
          </cell>
          <cell r="D20">
            <v>110</v>
          </cell>
          <cell r="E20">
            <v>310</v>
          </cell>
          <cell r="F20">
            <v>845</v>
          </cell>
          <cell r="H20">
            <v>4</v>
          </cell>
        </row>
        <row r="21">
          <cell r="C21" t="str">
            <v>Gombel1</v>
          </cell>
          <cell r="D21">
            <v>29</v>
          </cell>
          <cell r="E21">
            <v>85</v>
          </cell>
          <cell r="F21">
            <v>233</v>
          </cell>
        </row>
        <row r="22">
          <cell r="C22" t="str">
            <v>Gombel2</v>
          </cell>
          <cell r="D22">
            <v>17</v>
          </cell>
          <cell r="E22">
            <v>50</v>
          </cell>
          <cell r="F22">
            <v>135</v>
          </cell>
        </row>
        <row r="23">
          <cell r="C23" t="str">
            <v>Gombel3</v>
          </cell>
          <cell r="D23">
            <v>20</v>
          </cell>
          <cell r="E23">
            <v>56</v>
          </cell>
          <cell r="F23">
            <v>144</v>
          </cell>
        </row>
        <row r="24">
          <cell r="C24" t="str">
            <v>Semarang1</v>
          </cell>
          <cell r="D24">
            <v>39</v>
          </cell>
          <cell r="E24">
            <v>105</v>
          </cell>
          <cell r="F24">
            <v>293</v>
          </cell>
        </row>
        <row r="25">
          <cell r="C25" t="str">
            <v>Semarang2</v>
          </cell>
          <cell r="D25">
            <v>28</v>
          </cell>
          <cell r="E25">
            <v>82</v>
          </cell>
          <cell r="F25">
            <v>223</v>
          </cell>
        </row>
        <row r="26">
          <cell r="C26" t="str">
            <v>Semarang3</v>
          </cell>
          <cell r="D26">
            <v>18</v>
          </cell>
          <cell r="E26">
            <v>53</v>
          </cell>
          <cell r="F26">
            <v>149</v>
          </cell>
        </row>
        <row r="27">
          <cell r="C27" t="str">
            <v>Kudus</v>
          </cell>
          <cell r="D27">
            <v>21</v>
          </cell>
          <cell r="E27">
            <v>63</v>
          </cell>
          <cell r="F27">
            <v>199</v>
          </cell>
        </row>
        <row r="28">
          <cell r="B28" t="str">
            <v>Semarang</v>
          </cell>
          <cell r="D28">
            <v>172</v>
          </cell>
          <cell r="E28">
            <v>494</v>
          </cell>
          <cell r="F28">
            <v>1376</v>
          </cell>
          <cell r="H28">
            <v>7</v>
          </cell>
        </row>
        <row r="29">
          <cell r="C29" t="str">
            <v>Yogyakarta1</v>
          </cell>
          <cell r="D29">
            <v>24</v>
          </cell>
          <cell r="E29">
            <v>68</v>
          </cell>
          <cell r="F29">
            <v>172</v>
          </cell>
        </row>
        <row r="30">
          <cell r="C30" t="str">
            <v>Yogyakarta2</v>
          </cell>
          <cell r="D30">
            <v>21</v>
          </cell>
          <cell r="E30">
            <v>62</v>
          </cell>
          <cell r="F30">
            <v>169</v>
          </cell>
        </row>
        <row r="31">
          <cell r="C31" t="str">
            <v>Yogyakarta3</v>
          </cell>
          <cell r="D31">
            <v>30</v>
          </cell>
          <cell r="E31">
            <v>72</v>
          </cell>
          <cell r="F31">
            <v>203</v>
          </cell>
        </row>
        <row r="32">
          <cell r="C32" t="str">
            <v>Yogyakarta4</v>
          </cell>
          <cell r="D32">
            <v>24</v>
          </cell>
          <cell r="E32">
            <v>70</v>
          </cell>
          <cell r="F32">
            <v>211</v>
          </cell>
        </row>
        <row r="33">
          <cell r="C33" t="str">
            <v>Yogyakarta5</v>
          </cell>
          <cell r="D33">
            <v>18</v>
          </cell>
          <cell r="E33">
            <v>54</v>
          </cell>
          <cell r="F33">
            <v>168</v>
          </cell>
        </row>
        <row r="35">
          <cell r="B35" t="str">
            <v>Yogyakarta</v>
          </cell>
          <cell r="D35">
            <v>117</v>
          </cell>
          <cell r="E35">
            <v>326</v>
          </cell>
          <cell r="F35">
            <v>923</v>
          </cell>
          <cell r="H35">
            <v>5</v>
          </cell>
        </row>
        <row r="36">
          <cell r="C36" t="str">
            <v>Solo1</v>
          </cell>
          <cell r="D36">
            <v>28</v>
          </cell>
          <cell r="E36">
            <v>83</v>
          </cell>
          <cell r="F36">
            <v>220</v>
          </cell>
        </row>
        <row r="37">
          <cell r="C37" t="str">
            <v>Solo2</v>
          </cell>
          <cell r="D37">
            <v>37</v>
          </cell>
          <cell r="E37">
            <v>107</v>
          </cell>
          <cell r="F37">
            <v>293</v>
          </cell>
        </row>
        <row r="38">
          <cell r="C38" t="str">
            <v>Solo3</v>
          </cell>
          <cell r="D38">
            <v>23</v>
          </cell>
          <cell r="E38">
            <v>63</v>
          </cell>
          <cell r="F38">
            <v>176</v>
          </cell>
        </row>
        <row r="39">
          <cell r="B39" t="str">
            <v>Solo</v>
          </cell>
          <cell r="D39">
            <v>88</v>
          </cell>
          <cell r="E39">
            <v>253</v>
          </cell>
          <cell r="F39">
            <v>689</v>
          </cell>
          <cell r="H39">
            <v>3</v>
          </cell>
        </row>
        <row r="40">
          <cell r="C40" t="str">
            <v>Purwokerto1</v>
          </cell>
          <cell r="D40">
            <v>17</v>
          </cell>
          <cell r="E40">
            <v>51</v>
          </cell>
          <cell r="F40">
            <v>137</v>
          </cell>
        </row>
        <row r="41">
          <cell r="C41" t="str">
            <v>Purwokerto2</v>
          </cell>
          <cell r="D41">
            <v>25</v>
          </cell>
          <cell r="E41">
            <v>72</v>
          </cell>
          <cell r="F41">
            <v>208</v>
          </cell>
        </row>
        <row r="42">
          <cell r="C42" t="str">
            <v>Purwokerto3</v>
          </cell>
          <cell r="D42">
            <v>24</v>
          </cell>
          <cell r="E42">
            <v>72</v>
          </cell>
          <cell r="F42">
            <v>188</v>
          </cell>
        </row>
        <row r="43">
          <cell r="C43" t="str">
            <v>Pekalongan</v>
          </cell>
          <cell r="D43">
            <v>31</v>
          </cell>
          <cell r="E43">
            <v>86</v>
          </cell>
          <cell r="F43">
            <v>191</v>
          </cell>
        </row>
        <row r="44">
          <cell r="B44" t="str">
            <v>Purwokerto</v>
          </cell>
          <cell r="D44">
            <v>97</v>
          </cell>
          <cell r="E44">
            <v>281</v>
          </cell>
          <cell r="F44">
            <v>724</v>
          </cell>
          <cell r="H44">
            <v>4</v>
          </cell>
        </row>
        <row r="46">
          <cell r="C46" t="str">
            <v>Anteve1</v>
          </cell>
          <cell r="D46">
            <v>31</v>
          </cell>
          <cell r="E46">
            <v>94</v>
          </cell>
          <cell r="F46">
            <v>241</v>
          </cell>
        </row>
        <row r="47">
          <cell r="C47" t="str">
            <v>Anteve2</v>
          </cell>
          <cell r="D47">
            <v>35</v>
          </cell>
          <cell r="E47">
            <v>96</v>
          </cell>
          <cell r="F47">
            <v>272</v>
          </cell>
        </row>
        <row r="48">
          <cell r="C48" t="str">
            <v>Anteve3</v>
          </cell>
          <cell r="D48">
            <v>24</v>
          </cell>
          <cell r="E48">
            <v>61</v>
          </cell>
          <cell r="F48">
            <v>168</v>
          </cell>
        </row>
        <row r="49">
          <cell r="C49" t="str">
            <v>Balong Bendo</v>
          </cell>
          <cell r="D49">
            <v>29</v>
          </cell>
          <cell r="E49">
            <v>80</v>
          </cell>
          <cell r="F49">
            <v>235</v>
          </cell>
        </row>
        <row r="50">
          <cell r="C50" t="str">
            <v>Surabaya1</v>
          </cell>
          <cell r="D50">
            <v>41</v>
          </cell>
          <cell r="E50">
            <v>104</v>
          </cell>
          <cell r="F50">
            <v>277</v>
          </cell>
        </row>
        <row r="51">
          <cell r="C51" t="str">
            <v>Surabaya3</v>
          </cell>
          <cell r="D51">
            <v>18</v>
          </cell>
          <cell r="E51">
            <v>53</v>
          </cell>
          <cell r="F51">
            <v>136</v>
          </cell>
        </row>
        <row r="52">
          <cell r="C52" t="str">
            <v>Ketintang1</v>
          </cell>
          <cell r="D52">
            <v>21</v>
          </cell>
          <cell r="E52">
            <v>60</v>
          </cell>
          <cell r="F52">
            <v>169</v>
          </cell>
        </row>
        <row r="53">
          <cell r="C53" t="str">
            <v>Ketintang2</v>
          </cell>
          <cell r="D53">
            <v>25</v>
          </cell>
          <cell r="E53">
            <v>73</v>
          </cell>
          <cell r="F53">
            <v>208</v>
          </cell>
        </row>
        <row r="54">
          <cell r="C54" t="str">
            <v>Ketintang3</v>
          </cell>
          <cell r="D54">
            <v>20</v>
          </cell>
          <cell r="E54">
            <v>60</v>
          </cell>
          <cell r="F54">
            <v>175</v>
          </cell>
        </row>
        <row r="55">
          <cell r="C55" t="str">
            <v>Ketintang4</v>
          </cell>
          <cell r="D55">
            <v>28</v>
          </cell>
          <cell r="E55">
            <v>82</v>
          </cell>
          <cell r="F55">
            <v>236</v>
          </cell>
        </row>
        <row r="56">
          <cell r="C56" t="str">
            <v>Manyar1</v>
          </cell>
          <cell r="D56">
            <v>23</v>
          </cell>
          <cell r="E56">
            <v>70</v>
          </cell>
          <cell r="F56">
            <v>186</v>
          </cell>
        </row>
        <row r="57">
          <cell r="C57" t="str">
            <v>Manyar2</v>
          </cell>
          <cell r="D57">
            <v>18</v>
          </cell>
          <cell r="E57">
            <v>52</v>
          </cell>
          <cell r="F57">
            <v>141</v>
          </cell>
        </row>
        <row r="58">
          <cell r="C58" t="str">
            <v>Manyar3</v>
          </cell>
          <cell r="D58">
            <v>27</v>
          </cell>
          <cell r="E58">
            <v>63</v>
          </cell>
          <cell r="F58">
            <v>166</v>
          </cell>
        </row>
        <row r="59">
          <cell r="B59" t="str">
            <v>Surabaya</v>
          </cell>
          <cell r="D59">
            <v>340</v>
          </cell>
          <cell r="E59">
            <v>948</v>
          </cell>
          <cell r="F59">
            <v>2610</v>
          </cell>
          <cell r="H59">
            <v>13</v>
          </cell>
        </row>
        <row r="60">
          <cell r="C60" t="str">
            <v>Banyuwangi</v>
          </cell>
          <cell r="D60">
            <v>20</v>
          </cell>
          <cell r="E60">
            <v>55</v>
          </cell>
          <cell r="F60">
            <v>134</v>
          </cell>
        </row>
        <row r="61">
          <cell r="C61" t="str">
            <v>Jember</v>
          </cell>
          <cell r="D61">
            <v>37</v>
          </cell>
          <cell r="E61">
            <v>96</v>
          </cell>
          <cell r="F61">
            <v>233</v>
          </cell>
        </row>
        <row r="62">
          <cell r="C62" t="str">
            <v>Jember Bukit</v>
          </cell>
          <cell r="D62">
            <v>19</v>
          </cell>
          <cell r="E62">
            <v>53</v>
          </cell>
          <cell r="F62">
            <v>139</v>
          </cell>
        </row>
        <row r="63">
          <cell r="B63" t="str">
            <v>Jember</v>
          </cell>
          <cell r="D63">
            <v>76</v>
          </cell>
          <cell r="E63">
            <v>204</v>
          </cell>
          <cell r="F63">
            <v>506</v>
          </cell>
          <cell r="H63">
            <v>3</v>
          </cell>
        </row>
        <row r="64">
          <cell r="C64" t="str">
            <v>Malang1</v>
          </cell>
          <cell r="D64">
            <v>34</v>
          </cell>
          <cell r="E64">
            <v>92</v>
          </cell>
          <cell r="F64">
            <v>240</v>
          </cell>
        </row>
        <row r="65">
          <cell r="C65" t="str">
            <v>Sawojajar1</v>
          </cell>
          <cell r="D65">
            <v>26</v>
          </cell>
          <cell r="E65">
            <v>63</v>
          </cell>
          <cell r="F65">
            <v>176</v>
          </cell>
        </row>
        <row r="66">
          <cell r="C66" t="str">
            <v>Sawojajar2</v>
          </cell>
          <cell r="D66">
            <v>25</v>
          </cell>
          <cell r="E66">
            <v>67</v>
          </cell>
          <cell r="F66">
            <v>208</v>
          </cell>
        </row>
        <row r="67">
          <cell r="B67" t="str">
            <v>Malang</v>
          </cell>
          <cell r="D67">
            <v>85</v>
          </cell>
          <cell r="E67">
            <v>222</v>
          </cell>
          <cell r="F67">
            <v>624</v>
          </cell>
          <cell r="H67">
            <v>3</v>
          </cell>
        </row>
        <row r="68">
          <cell r="C68" t="str">
            <v>Madiun1</v>
          </cell>
          <cell r="D68">
            <v>22</v>
          </cell>
          <cell r="E68">
            <v>63</v>
          </cell>
          <cell r="F68">
            <v>154</v>
          </cell>
        </row>
        <row r="69">
          <cell r="C69" t="str">
            <v>Madiun2</v>
          </cell>
          <cell r="D69">
            <v>24</v>
          </cell>
          <cell r="E69">
            <v>65</v>
          </cell>
          <cell r="F69">
            <v>197</v>
          </cell>
        </row>
        <row r="70">
          <cell r="C70" t="str">
            <v>Madiun3</v>
          </cell>
          <cell r="D70">
            <v>14</v>
          </cell>
          <cell r="E70">
            <v>42</v>
          </cell>
          <cell r="F70">
            <v>127</v>
          </cell>
        </row>
        <row r="71">
          <cell r="C71" t="str">
            <v>Papar1</v>
          </cell>
          <cell r="D71">
            <v>19</v>
          </cell>
          <cell r="E71">
            <v>57</v>
          </cell>
          <cell r="F71">
            <v>159</v>
          </cell>
        </row>
        <row r="72">
          <cell r="C72" t="str">
            <v>Papar2</v>
          </cell>
          <cell r="D72">
            <v>31</v>
          </cell>
          <cell r="E72">
            <v>86</v>
          </cell>
          <cell r="F72">
            <v>258</v>
          </cell>
        </row>
        <row r="73">
          <cell r="B73" t="str">
            <v>Madiun</v>
          </cell>
          <cell r="D73">
            <v>110</v>
          </cell>
          <cell r="E73">
            <v>313</v>
          </cell>
          <cell r="F73">
            <v>895</v>
          </cell>
          <cell r="H73">
            <v>5</v>
          </cell>
        </row>
        <row r="74">
          <cell r="C74" t="str">
            <v>Kaliasam</v>
          </cell>
          <cell r="D74">
            <v>14</v>
          </cell>
          <cell r="E74">
            <v>38</v>
          </cell>
          <cell r="F74">
            <v>81</v>
          </cell>
        </row>
        <row r="75">
          <cell r="C75" t="str">
            <v>Kerobokan1</v>
          </cell>
          <cell r="D75">
            <v>29</v>
          </cell>
          <cell r="E75">
            <v>79</v>
          </cell>
          <cell r="F75">
            <v>208</v>
          </cell>
        </row>
        <row r="76">
          <cell r="C76" t="str">
            <v>Kerobokan2</v>
          </cell>
          <cell r="D76">
            <v>43</v>
          </cell>
          <cell r="E76">
            <v>93</v>
          </cell>
          <cell r="F76">
            <v>228</v>
          </cell>
        </row>
        <row r="77">
          <cell r="C77" t="str">
            <v>Kerobokan3</v>
          </cell>
          <cell r="D77">
            <v>48</v>
          </cell>
          <cell r="E77">
            <v>114</v>
          </cell>
          <cell r="F77">
            <v>245</v>
          </cell>
        </row>
        <row r="78">
          <cell r="C78" t="str">
            <v>Badung</v>
          </cell>
          <cell r="D78">
            <v>35</v>
          </cell>
          <cell r="E78">
            <v>97</v>
          </cell>
          <cell r="F78">
            <v>240</v>
          </cell>
        </row>
        <row r="79">
          <cell r="C79" t="str">
            <v>Blah Batuh</v>
          </cell>
          <cell r="D79">
            <v>48</v>
          </cell>
          <cell r="E79">
            <v>133</v>
          </cell>
          <cell r="F79">
            <v>302</v>
          </cell>
        </row>
        <row r="80">
          <cell r="C80" t="str">
            <v>Singaraja</v>
          </cell>
          <cell r="D80">
            <v>25</v>
          </cell>
          <cell r="E80">
            <v>61</v>
          </cell>
          <cell r="F80">
            <v>139</v>
          </cell>
        </row>
        <row r="81">
          <cell r="C81" t="str">
            <v>Ubung1</v>
          </cell>
          <cell r="D81">
            <v>26</v>
          </cell>
          <cell r="E81">
            <v>59</v>
          </cell>
          <cell r="F81">
            <v>148</v>
          </cell>
        </row>
        <row r="82">
          <cell r="C82" t="str">
            <v>Ubung2</v>
          </cell>
          <cell r="D82">
            <v>25</v>
          </cell>
          <cell r="E82">
            <v>61</v>
          </cell>
          <cell r="F82">
            <v>169</v>
          </cell>
        </row>
        <row r="83">
          <cell r="B83" t="str">
            <v>Denpasar</v>
          </cell>
          <cell r="D83">
            <v>293</v>
          </cell>
          <cell r="E83">
            <v>735</v>
          </cell>
          <cell r="F83">
            <v>1760</v>
          </cell>
          <cell r="H83">
            <v>9</v>
          </cell>
        </row>
        <row r="84">
          <cell r="C84" t="str">
            <v>Mataram</v>
          </cell>
          <cell r="D84">
            <v>18</v>
          </cell>
          <cell r="E84">
            <v>52</v>
          </cell>
          <cell r="F84">
            <v>127</v>
          </cell>
        </row>
        <row r="85">
          <cell r="C85" t="str">
            <v>Panjitilar</v>
          </cell>
          <cell r="D85">
            <v>35</v>
          </cell>
          <cell r="E85">
            <v>94</v>
          </cell>
          <cell r="F85">
            <v>229</v>
          </cell>
        </row>
        <row r="86">
          <cell r="B86" t="str">
            <v>Mataram</v>
          </cell>
          <cell r="D86">
            <v>53</v>
          </cell>
          <cell r="E86">
            <v>146</v>
          </cell>
          <cell r="F86">
            <v>356</v>
          </cell>
          <cell r="H86">
            <v>2</v>
          </cell>
        </row>
        <row r="87">
          <cell r="B87" t="str">
            <v>Kupang</v>
          </cell>
          <cell r="C87" t="str">
            <v>Kupang</v>
          </cell>
          <cell r="D87">
            <v>26</v>
          </cell>
          <cell r="E87">
            <v>76</v>
          </cell>
          <cell r="F87">
            <v>212</v>
          </cell>
          <cell r="H87">
            <v>1</v>
          </cell>
        </row>
        <row r="88">
          <cell r="C88" t="str">
            <v>Pontianak</v>
          </cell>
          <cell r="D88">
            <v>18</v>
          </cell>
          <cell r="E88">
            <v>49</v>
          </cell>
          <cell r="F88">
            <v>127</v>
          </cell>
        </row>
        <row r="89">
          <cell r="C89" t="str">
            <v>Sanggau</v>
          </cell>
          <cell r="D89">
            <v>9</v>
          </cell>
          <cell r="E89">
            <v>25</v>
          </cell>
          <cell r="F89">
            <v>64</v>
          </cell>
        </row>
        <row r="90">
          <cell r="C90" t="str">
            <v>Singkawang</v>
          </cell>
          <cell r="D90">
            <v>19</v>
          </cell>
          <cell r="E90">
            <v>55</v>
          </cell>
          <cell r="F90">
            <v>162</v>
          </cell>
        </row>
        <row r="91">
          <cell r="B91" t="str">
            <v>Pontianak</v>
          </cell>
          <cell r="D91">
            <v>46</v>
          </cell>
          <cell r="E91">
            <v>129</v>
          </cell>
          <cell r="F91">
            <v>353</v>
          </cell>
          <cell r="H91">
            <v>3</v>
          </cell>
        </row>
        <row r="92">
          <cell r="C92" t="str">
            <v>Tanjung Redep</v>
          </cell>
          <cell r="D92">
            <v>7</v>
          </cell>
          <cell r="E92">
            <v>21</v>
          </cell>
          <cell r="F92">
            <v>66</v>
          </cell>
        </row>
        <row r="93">
          <cell r="C93" t="str">
            <v>Tarakan</v>
          </cell>
          <cell r="D93">
            <v>20</v>
          </cell>
          <cell r="E93">
            <v>59</v>
          </cell>
          <cell r="F93">
            <v>220</v>
          </cell>
        </row>
        <row r="94">
          <cell r="B94" t="str">
            <v>Tarakan</v>
          </cell>
          <cell r="D94">
            <v>27</v>
          </cell>
          <cell r="E94">
            <v>80</v>
          </cell>
          <cell r="F94">
            <v>286</v>
          </cell>
          <cell r="H94">
            <v>2</v>
          </cell>
        </row>
        <row r="95">
          <cell r="C95" t="str">
            <v>Ujungpandang</v>
          </cell>
          <cell r="D95">
            <v>32</v>
          </cell>
          <cell r="E95">
            <v>93</v>
          </cell>
          <cell r="F95">
            <v>234</v>
          </cell>
        </row>
        <row r="96">
          <cell r="C96" t="str">
            <v>Pettarani</v>
          </cell>
          <cell r="D96">
            <v>23</v>
          </cell>
          <cell r="E96">
            <v>62</v>
          </cell>
          <cell r="F96">
            <v>195</v>
          </cell>
        </row>
        <row r="97">
          <cell r="C97" t="str">
            <v>Bone</v>
          </cell>
          <cell r="D97">
            <v>5</v>
          </cell>
          <cell r="E97">
            <v>14</v>
          </cell>
          <cell r="F97">
            <v>41</v>
          </cell>
        </row>
        <row r="98">
          <cell r="C98" t="str">
            <v>Bulukumba</v>
          </cell>
          <cell r="D98">
            <v>8</v>
          </cell>
          <cell r="E98">
            <v>24</v>
          </cell>
          <cell r="F98">
            <v>61</v>
          </cell>
        </row>
        <row r="99">
          <cell r="C99" t="str">
            <v>Palopo</v>
          </cell>
          <cell r="D99">
            <v>12</v>
          </cell>
          <cell r="E99">
            <v>34</v>
          </cell>
          <cell r="F99">
            <v>97</v>
          </cell>
        </row>
        <row r="100">
          <cell r="C100" t="str">
            <v>Pare pare</v>
          </cell>
          <cell r="D100">
            <v>26</v>
          </cell>
          <cell r="E100">
            <v>70</v>
          </cell>
          <cell r="F100">
            <v>196</v>
          </cell>
        </row>
        <row r="101">
          <cell r="C101" t="str">
            <v>Rantepao</v>
          </cell>
          <cell r="D101">
            <v>4</v>
          </cell>
          <cell r="E101">
            <v>12</v>
          </cell>
          <cell r="F101">
            <v>36</v>
          </cell>
        </row>
        <row r="102">
          <cell r="B102" t="str">
            <v>Ujungpandang</v>
          </cell>
          <cell r="D102">
            <v>110</v>
          </cell>
          <cell r="E102">
            <v>309</v>
          </cell>
          <cell r="F102">
            <v>860</v>
          </cell>
          <cell r="H102">
            <v>7</v>
          </cell>
        </row>
        <row r="103">
          <cell r="C103" t="str">
            <v>Telkomas1</v>
          </cell>
          <cell r="D103">
            <v>31</v>
          </cell>
          <cell r="E103">
            <v>81</v>
          </cell>
          <cell r="F103">
            <v>277</v>
          </cell>
        </row>
        <row r="104">
          <cell r="C104" t="str">
            <v>Telkomas2</v>
          </cell>
          <cell r="D104">
            <v>16</v>
          </cell>
          <cell r="E104">
            <v>49</v>
          </cell>
          <cell r="F104">
            <v>146</v>
          </cell>
        </row>
        <row r="105">
          <cell r="C105" t="str">
            <v>Telkomas3</v>
          </cell>
          <cell r="D105">
            <v>24</v>
          </cell>
          <cell r="E105">
            <v>67</v>
          </cell>
          <cell r="F105">
            <v>203</v>
          </cell>
        </row>
        <row r="106">
          <cell r="B106" t="str">
            <v>Telkomas</v>
          </cell>
          <cell r="D106">
            <v>71</v>
          </cell>
          <cell r="E106">
            <v>197</v>
          </cell>
          <cell r="F106">
            <v>626</v>
          </cell>
          <cell r="H106">
            <v>3</v>
          </cell>
        </row>
        <row r="107">
          <cell r="B107" t="str">
            <v>Soroako</v>
          </cell>
          <cell r="C107" t="str">
            <v>Soroako</v>
          </cell>
          <cell r="D107">
            <v>7</v>
          </cell>
          <cell r="E107">
            <v>18</v>
          </cell>
          <cell r="F107">
            <v>44</v>
          </cell>
          <cell r="H107">
            <v>1</v>
          </cell>
        </row>
        <row r="108">
          <cell r="B108" t="str">
            <v>Palu</v>
          </cell>
          <cell r="C108" t="str">
            <v>Palu</v>
          </cell>
          <cell r="D108">
            <v>20</v>
          </cell>
          <cell r="E108">
            <v>54</v>
          </cell>
          <cell r="F108">
            <v>160</v>
          </cell>
          <cell r="H108">
            <v>1</v>
          </cell>
        </row>
        <row r="109">
          <cell r="B109" t="str">
            <v>Kendari</v>
          </cell>
          <cell r="C109" t="str">
            <v>Kendari</v>
          </cell>
          <cell r="D109">
            <v>14</v>
          </cell>
          <cell r="E109">
            <v>41</v>
          </cell>
          <cell r="F109">
            <v>117</v>
          </cell>
          <cell r="H109">
            <v>1</v>
          </cell>
        </row>
        <row r="110">
          <cell r="C110" t="str">
            <v>Kotamubago</v>
          </cell>
          <cell r="D110">
            <v>3</v>
          </cell>
          <cell r="E110">
            <v>9</v>
          </cell>
          <cell r="F110">
            <v>31</v>
          </cell>
        </row>
        <row r="111">
          <cell r="C111" t="str">
            <v>Gorontalo</v>
          </cell>
          <cell r="D111">
            <v>16</v>
          </cell>
          <cell r="E111">
            <v>48</v>
          </cell>
          <cell r="F111">
            <v>138</v>
          </cell>
        </row>
        <row r="112">
          <cell r="C112" t="str">
            <v>Hiltop1</v>
          </cell>
          <cell r="D112">
            <v>31</v>
          </cell>
          <cell r="E112">
            <v>93</v>
          </cell>
          <cell r="F112">
            <v>338</v>
          </cell>
        </row>
        <row r="113">
          <cell r="C113" t="str">
            <v>Hiltop2</v>
          </cell>
          <cell r="D113">
            <v>32</v>
          </cell>
          <cell r="E113">
            <v>93</v>
          </cell>
          <cell r="F113">
            <v>263</v>
          </cell>
        </row>
        <row r="114">
          <cell r="C114" t="str">
            <v>Manado3</v>
          </cell>
          <cell r="D114">
            <v>24</v>
          </cell>
          <cell r="E114">
            <v>71</v>
          </cell>
          <cell r="F114">
            <v>180</v>
          </cell>
        </row>
        <row r="115">
          <cell r="C115" t="str">
            <v>Sangir Talaud</v>
          </cell>
          <cell r="D115">
            <v>1</v>
          </cell>
          <cell r="E115">
            <v>3</v>
          </cell>
          <cell r="F115">
            <v>10</v>
          </cell>
        </row>
        <row r="116">
          <cell r="B116" t="str">
            <v>Manado</v>
          </cell>
          <cell r="D116">
            <v>107</v>
          </cell>
          <cell r="E116">
            <v>317</v>
          </cell>
          <cell r="F116">
            <v>960</v>
          </cell>
          <cell r="H116">
            <v>6</v>
          </cell>
        </row>
        <row r="117">
          <cell r="B117" t="str">
            <v>Ternate</v>
          </cell>
          <cell r="C117" t="str">
            <v>Ternate</v>
          </cell>
          <cell r="D117">
            <v>7</v>
          </cell>
          <cell r="E117">
            <v>21</v>
          </cell>
          <cell r="F117">
            <v>75</v>
          </cell>
          <cell r="H117">
            <v>1</v>
          </cell>
        </row>
        <row r="118">
          <cell r="B118" t="str">
            <v>Ambon</v>
          </cell>
          <cell r="C118" t="str">
            <v>Ambon</v>
          </cell>
          <cell r="D118">
            <v>19</v>
          </cell>
          <cell r="E118">
            <v>53</v>
          </cell>
          <cell r="F118">
            <v>197</v>
          </cell>
          <cell r="H118">
            <v>1</v>
          </cell>
        </row>
        <row r="119">
          <cell r="B119" t="str">
            <v>Jayapura</v>
          </cell>
          <cell r="C119" t="str">
            <v>Jayapura</v>
          </cell>
          <cell r="D119">
            <v>26</v>
          </cell>
          <cell r="E119">
            <v>73</v>
          </cell>
          <cell r="F119">
            <v>254</v>
          </cell>
          <cell r="H119">
            <v>1</v>
          </cell>
        </row>
        <row r="120">
          <cell r="B120" t="str">
            <v>Timika</v>
          </cell>
          <cell r="C120" t="str">
            <v>Timika</v>
          </cell>
          <cell r="D120">
            <v>15</v>
          </cell>
          <cell r="E120">
            <v>43</v>
          </cell>
          <cell r="F120">
            <v>130</v>
          </cell>
          <cell r="H120">
            <v>1</v>
          </cell>
        </row>
        <row r="121">
          <cell r="B121" t="str">
            <v>Biak</v>
          </cell>
          <cell r="C121" t="str">
            <v>Biak</v>
          </cell>
          <cell r="D121">
            <v>4</v>
          </cell>
          <cell r="E121">
            <v>12</v>
          </cell>
          <cell r="F121">
            <v>35</v>
          </cell>
          <cell r="H121">
            <v>1</v>
          </cell>
        </row>
        <row r="122">
          <cell r="B122" t="str">
            <v>Fakfak</v>
          </cell>
          <cell r="C122" t="str">
            <v>Fakfak</v>
          </cell>
          <cell r="D122">
            <v>3</v>
          </cell>
          <cell r="E122">
            <v>9</v>
          </cell>
          <cell r="F122">
            <v>25</v>
          </cell>
          <cell r="H122">
            <v>1</v>
          </cell>
        </row>
        <row r="123">
          <cell r="B123" t="str">
            <v>Manokwari</v>
          </cell>
          <cell r="C123" t="str">
            <v>Manokwari</v>
          </cell>
          <cell r="D123">
            <v>4</v>
          </cell>
          <cell r="E123">
            <v>11</v>
          </cell>
          <cell r="F123">
            <v>39</v>
          </cell>
          <cell r="H123">
            <v>1</v>
          </cell>
        </row>
        <row r="124">
          <cell r="B124" t="str">
            <v>Merauke</v>
          </cell>
          <cell r="C124" t="str">
            <v>Merauke</v>
          </cell>
          <cell r="D124">
            <v>5</v>
          </cell>
          <cell r="E124">
            <v>15</v>
          </cell>
          <cell r="F124">
            <v>49</v>
          </cell>
          <cell r="H124">
            <v>1</v>
          </cell>
        </row>
        <row r="125">
          <cell r="B125" t="str">
            <v>Nabire</v>
          </cell>
          <cell r="C125" t="str">
            <v>Nabire</v>
          </cell>
          <cell r="D125">
            <v>3</v>
          </cell>
          <cell r="E125">
            <v>9</v>
          </cell>
          <cell r="F125">
            <v>29</v>
          </cell>
          <cell r="H125">
            <v>1</v>
          </cell>
        </row>
        <row r="126">
          <cell r="B126" t="str">
            <v>Sorong</v>
          </cell>
          <cell r="C126" t="str">
            <v>Sorong</v>
          </cell>
          <cell r="D126">
            <v>11</v>
          </cell>
          <cell r="E126">
            <v>34</v>
          </cell>
          <cell r="F126">
            <v>111</v>
          </cell>
          <cell r="H126">
            <v>1</v>
          </cell>
        </row>
        <row r="127">
          <cell r="B127" t="str">
            <v>Serui</v>
          </cell>
          <cell r="C127" t="str">
            <v>Serui</v>
          </cell>
          <cell r="D127">
            <v>1</v>
          </cell>
          <cell r="E127">
            <v>3</v>
          </cell>
          <cell r="F127">
            <v>15</v>
          </cell>
          <cell r="H127">
            <v>1</v>
          </cell>
        </row>
        <row r="128">
          <cell r="B128" t="str">
            <v>Wamena</v>
          </cell>
          <cell r="C128" t="str">
            <v>Wamena</v>
          </cell>
          <cell r="D128">
            <v>2</v>
          </cell>
          <cell r="E128">
            <v>7</v>
          </cell>
          <cell r="F128">
            <v>22</v>
          </cell>
          <cell r="H128">
            <v>1</v>
          </cell>
        </row>
      </sheetData>
      <sheetData sheetId="3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 Tower"/>
      <sheetName val="Material Mounting"/>
      <sheetName val="MTO 71"/>
      <sheetName val="RBO Tower"/>
      <sheetName val="RBO Cek Mounting"/>
      <sheetName val="RBO 105"/>
      <sheetName val="RBO 159"/>
      <sheetName val="RBO 160"/>
      <sheetName val="RBO 161"/>
      <sheetName val="RBO 162"/>
      <sheetName val="RBO 163"/>
      <sheetName val="RBO 179"/>
      <sheetName val="RBO 180"/>
      <sheetName val="RBO 181"/>
      <sheetName val="RBO 182"/>
      <sheetName val="RBO 187"/>
      <sheetName val="RBO 188"/>
      <sheetName val="RBO 191"/>
      <sheetName val="RBO 192"/>
      <sheetName val="RBO 193"/>
      <sheetName val="RBO 194"/>
      <sheetName val="RBO 195"/>
      <sheetName val="RBO 197"/>
      <sheetName val="RBO 199"/>
      <sheetName val="RBO 200"/>
      <sheetName val="RBO 202"/>
      <sheetName val="RBO 205"/>
      <sheetName val="RBO 206"/>
      <sheetName val="RBO 207"/>
      <sheetName val="RBO 210"/>
      <sheetName val="RBO 214"/>
      <sheetName val="RBO 215"/>
      <sheetName val="RBO 257"/>
      <sheetName val="RBO 258"/>
      <sheetName val="RBO 260"/>
      <sheetName val="RBO Cek"/>
      <sheetName val="Lampiran MTO"/>
      <sheetName val="Ladder"/>
      <sheetName val="harga"/>
      <sheetName val="MNR6"/>
      <sheetName val="Mat_Tower"/>
      <sheetName val="Material_Mounting"/>
      <sheetName val="MTO_71"/>
      <sheetName val="RBO_Tower"/>
      <sheetName val="RBO_Cek_Mounting"/>
      <sheetName val="RBO_105"/>
      <sheetName val="RBO_159"/>
      <sheetName val="RBO_160"/>
      <sheetName val="RBO_161"/>
      <sheetName val="RBO_162"/>
      <sheetName val="RBO_163"/>
      <sheetName val="RBO_179"/>
      <sheetName val="RBO_180"/>
      <sheetName val="RBO_181"/>
      <sheetName val="RBO_182"/>
      <sheetName val="RBO_187"/>
      <sheetName val="RBO_188"/>
      <sheetName val="RBO_191"/>
      <sheetName val="RBO_192"/>
      <sheetName val="RBO_193"/>
      <sheetName val="RBO_194"/>
      <sheetName val="RBO_195"/>
      <sheetName val="RBO_197"/>
      <sheetName val="RBO_199"/>
      <sheetName val="RBO_200"/>
      <sheetName val="RBO_202"/>
      <sheetName val="RBO_205"/>
      <sheetName val="RBO_206"/>
      <sheetName val="RBO_207"/>
      <sheetName val="RBO_210"/>
      <sheetName val="RBO_214"/>
      <sheetName val="RBO_215"/>
      <sheetName val="RBO_257"/>
      <sheetName val="RBO_258"/>
      <sheetName val="RBO_260"/>
      <sheetName val="RBO_Cek"/>
      <sheetName val="Lampiran_MTO"/>
      <sheetName val="Calc"/>
      <sheetName val="lookup"/>
      <sheetName val="Antennaline"/>
      <sheetName val="Legend"/>
      <sheetName val="TP_DATABASE"/>
      <sheetName val="Resource Plan"/>
      <sheetName val="indirect"/>
      <sheetName val="B - Norelec"/>
      <sheetName val="BS pricing"/>
      <sheetName val="Pivot"/>
      <sheetName val="Temp"/>
      <sheetName val="Mat_Tower1"/>
      <sheetName val="Material_Mounting1"/>
      <sheetName val="MTO_711"/>
      <sheetName val="RBO_Tower1"/>
      <sheetName val="RBO_Cek_Mounting1"/>
      <sheetName val="RBO_1051"/>
      <sheetName val="RBO_1591"/>
      <sheetName val="RBO_1601"/>
      <sheetName val="RBO_1611"/>
      <sheetName val="RBO_1621"/>
      <sheetName val="RBO_1631"/>
      <sheetName val="RBO_1791"/>
      <sheetName val="RBO_1801"/>
      <sheetName val="RBO_1811"/>
      <sheetName val="RBO_1821"/>
      <sheetName val="RBO_1871"/>
      <sheetName val="RBO_1881"/>
      <sheetName val="RBO_1911"/>
      <sheetName val="RBO_1921"/>
      <sheetName val="RBO_1931"/>
      <sheetName val="RBO_1941"/>
      <sheetName val="RBO_1951"/>
      <sheetName val="RBO_1971"/>
      <sheetName val="RBO_1991"/>
      <sheetName val="RBO_2001"/>
      <sheetName val="RBO_2021"/>
      <sheetName val="RBO_2051"/>
      <sheetName val="RBO_2061"/>
      <sheetName val="RBO_2071"/>
      <sheetName val="RBO_2101"/>
      <sheetName val="RBO_2141"/>
      <sheetName val="RBO_2151"/>
      <sheetName val="RBO_2571"/>
      <sheetName val="RBO_2581"/>
      <sheetName val="RBO_2601"/>
      <sheetName val="RBO_Cek1"/>
      <sheetName val="Lampiran_MTO1"/>
      <sheetName val="Resource_Plan"/>
      <sheetName val="BS_pricing"/>
      <sheetName val="B_-_Norelec"/>
      <sheetName val="Param"/>
      <sheetName val="NewSite"/>
    </sheetNames>
    <sheetDataSet>
      <sheetData sheetId="0"/>
      <sheetData sheetId="1" refreshError="1">
        <row r="11">
          <cell r="B11">
            <v>104</v>
          </cell>
          <cell r="C11">
            <v>1</v>
          </cell>
          <cell r="D11" t="str">
            <v>104 - TW - 2 - 05</v>
          </cell>
          <cell r="E11">
            <v>4500089926</v>
          </cell>
          <cell r="F11">
            <v>2429</v>
          </cell>
          <cell r="G11" t="str">
            <v>Petarukan</v>
          </cell>
          <cell r="H11" t="str">
            <v>Jawa Tengah</v>
          </cell>
          <cell r="I11" t="str">
            <v>51m Light</v>
          </cell>
          <cell r="J11">
            <v>7175.65</v>
          </cell>
          <cell r="K11">
            <v>391.42</v>
          </cell>
          <cell r="L11">
            <v>7567.07</v>
          </cell>
          <cell r="M11">
            <v>7567.07</v>
          </cell>
          <cell r="N11">
            <v>95912612.25</v>
          </cell>
        </row>
        <row r="12">
          <cell r="B12">
            <v>105</v>
          </cell>
          <cell r="C12">
            <v>2</v>
          </cell>
          <cell r="D12" t="str">
            <v>105 - TW - 2 - 05</v>
          </cell>
          <cell r="E12">
            <v>4500089914</v>
          </cell>
          <cell r="F12">
            <v>2408</v>
          </cell>
          <cell r="G12" t="str">
            <v>Bagelan</v>
          </cell>
          <cell r="H12" t="str">
            <v>Jawa Tengah</v>
          </cell>
          <cell r="I12" t="str">
            <v>71m Light</v>
          </cell>
          <cell r="J12">
            <v>13393.87</v>
          </cell>
          <cell r="K12">
            <v>394.05</v>
          </cell>
          <cell r="L12">
            <v>13787.92</v>
          </cell>
          <cell r="M12">
            <v>13787.92</v>
          </cell>
          <cell r="N12">
            <v>174761886</v>
          </cell>
        </row>
        <row r="13">
          <cell r="B13">
            <v>159</v>
          </cell>
          <cell r="C13">
            <v>3</v>
          </cell>
          <cell r="D13" t="str">
            <v>159 - TW - 2 - 05</v>
          </cell>
          <cell r="E13">
            <v>4500089952</v>
          </cell>
          <cell r="F13">
            <v>3949</v>
          </cell>
          <cell r="G13" t="str">
            <v>Tenggarong Seberang</v>
          </cell>
          <cell r="H13" t="str">
            <v>Kaltim</v>
          </cell>
          <cell r="I13" t="str">
            <v>71m Light</v>
          </cell>
          <cell r="J13">
            <v>13393.87</v>
          </cell>
          <cell r="K13">
            <v>854.63999999999942</v>
          </cell>
          <cell r="L13">
            <v>14248.51</v>
          </cell>
          <cell r="M13">
            <v>14248.51</v>
          </cell>
          <cell r="N13">
            <v>180599864.25</v>
          </cell>
        </row>
        <row r="14">
          <cell r="B14">
            <v>160</v>
          </cell>
          <cell r="C14">
            <v>4</v>
          </cell>
          <cell r="D14" t="str">
            <v>160 - TW - 2 - 05</v>
          </cell>
          <cell r="E14">
            <v>4500089909</v>
          </cell>
          <cell r="F14">
            <v>2402</v>
          </cell>
          <cell r="G14" t="str">
            <v>Jatinom</v>
          </cell>
          <cell r="H14" t="str">
            <v>Jawa Tengah</v>
          </cell>
          <cell r="I14" t="str">
            <v>71m Light</v>
          </cell>
          <cell r="J14">
            <v>13393.87</v>
          </cell>
          <cell r="K14">
            <v>568.53</v>
          </cell>
          <cell r="L14">
            <v>13962.400000000001</v>
          </cell>
          <cell r="M14">
            <v>13962.4</v>
          </cell>
          <cell r="N14">
            <v>176973420</v>
          </cell>
        </row>
        <row r="15">
          <cell r="B15">
            <v>161</v>
          </cell>
          <cell r="C15">
            <v>5</v>
          </cell>
          <cell r="D15" t="str">
            <v>161 - TW - 2 - 05</v>
          </cell>
          <cell r="E15">
            <v>4500089962</v>
          </cell>
          <cell r="F15">
            <v>2817</v>
          </cell>
          <cell r="G15" t="str">
            <v>Pulaki</v>
          </cell>
          <cell r="H15" t="str">
            <v>Bali</v>
          </cell>
          <cell r="I15" t="str">
            <v>71m Light</v>
          </cell>
          <cell r="J15">
            <v>13393.87</v>
          </cell>
          <cell r="K15">
            <v>254.32999999999993</v>
          </cell>
          <cell r="L15">
            <v>13648.2</v>
          </cell>
          <cell r="M15">
            <v>13648.2</v>
          </cell>
          <cell r="N15">
            <v>172990935</v>
          </cell>
        </row>
        <row r="16">
          <cell r="B16">
            <v>162</v>
          </cell>
          <cell r="C16">
            <v>6</v>
          </cell>
          <cell r="D16" t="str">
            <v>162 - TW - 2 - 05</v>
          </cell>
          <cell r="E16">
            <v>4500089963</v>
          </cell>
          <cell r="F16">
            <v>2718</v>
          </cell>
          <cell r="G16" t="str">
            <v>Kempo</v>
          </cell>
          <cell r="H16" t="str">
            <v>NTB</v>
          </cell>
          <cell r="I16" t="str">
            <v>71m Light</v>
          </cell>
          <cell r="J16">
            <v>13393.87</v>
          </cell>
          <cell r="K16">
            <v>312.51999999999862</v>
          </cell>
          <cell r="L16">
            <v>13706.39</v>
          </cell>
          <cell r="M16">
            <v>13706.39</v>
          </cell>
          <cell r="N16">
            <v>173728493.25</v>
          </cell>
        </row>
        <row r="17">
          <cell r="B17">
            <v>163</v>
          </cell>
          <cell r="C17">
            <v>7</v>
          </cell>
          <cell r="D17" t="str">
            <v>163 - TW - 2 - 05</v>
          </cell>
          <cell r="E17">
            <v>4500089957</v>
          </cell>
          <cell r="F17" t="str">
            <v>C410</v>
          </cell>
          <cell r="G17" t="str">
            <v>Sosok</v>
          </cell>
          <cell r="H17" t="str">
            <v>Kalbar</v>
          </cell>
          <cell r="I17" t="str">
            <v>71m Light</v>
          </cell>
          <cell r="J17">
            <v>13393.87</v>
          </cell>
          <cell r="K17">
            <v>565.79999999999927</v>
          </cell>
          <cell r="L17">
            <v>13959.67</v>
          </cell>
          <cell r="M17">
            <v>13959.67</v>
          </cell>
          <cell r="N17">
            <v>176938817.25</v>
          </cell>
        </row>
        <row r="18">
          <cell r="B18">
            <v>179</v>
          </cell>
          <cell r="C18">
            <v>8</v>
          </cell>
          <cell r="D18" t="str">
            <v>179 - TW - 2 - 05</v>
          </cell>
          <cell r="E18">
            <v>4500090115</v>
          </cell>
          <cell r="F18">
            <v>2411</v>
          </cell>
          <cell r="G18" t="str">
            <v>Karanganyar Kebumen</v>
          </cell>
          <cell r="H18" t="str">
            <v>Jawa Tengah</v>
          </cell>
          <cell r="I18" t="str">
            <v>71m Light</v>
          </cell>
          <cell r="J18">
            <v>13393.87</v>
          </cell>
          <cell r="K18">
            <v>568.52999999999884</v>
          </cell>
          <cell r="L18">
            <v>13962.4</v>
          </cell>
          <cell r="M18">
            <v>13962.4</v>
          </cell>
          <cell r="N18">
            <v>176973420</v>
          </cell>
        </row>
        <row r="19">
          <cell r="B19">
            <v>180</v>
          </cell>
          <cell r="C19">
            <v>9</v>
          </cell>
          <cell r="D19" t="str">
            <v>180 - TW - 2 - 05</v>
          </cell>
          <cell r="E19">
            <v>4500090389</v>
          </cell>
          <cell r="F19" t="str">
            <v>C419</v>
          </cell>
          <cell r="G19" t="str">
            <v>Pesaguan</v>
          </cell>
          <cell r="H19" t="str">
            <v>Kalbar</v>
          </cell>
          <cell r="I19" t="str">
            <v>71m Light</v>
          </cell>
          <cell r="J19">
            <v>13393.87</v>
          </cell>
          <cell r="K19">
            <v>660.96999999999935</v>
          </cell>
          <cell r="L19">
            <v>14054.84</v>
          </cell>
          <cell r="M19">
            <v>14054.84</v>
          </cell>
          <cell r="N19">
            <v>178145097</v>
          </cell>
        </row>
        <row r="20">
          <cell r="B20">
            <v>181</v>
          </cell>
          <cell r="C20">
            <v>10</v>
          </cell>
          <cell r="D20" t="str">
            <v>181 - TW - 2 - 05</v>
          </cell>
          <cell r="E20">
            <v>4500090392</v>
          </cell>
          <cell r="F20" t="str">
            <v>C418</v>
          </cell>
          <cell r="G20" t="str">
            <v>Tebas</v>
          </cell>
          <cell r="H20" t="str">
            <v>Kalbar</v>
          </cell>
          <cell r="I20" t="str">
            <v>71m Light</v>
          </cell>
          <cell r="J20">
            <v>13393.87</v>
          </cell>
          <cell r="K20">
            <v>217.94999999999891</v>
          </cell>
          <cell r="L20">
            <v>13611.82</v>
          </cell>
          <cell r="M20">
            <v>13611.82</v>
          </cell>
          <cell r="N20">
            <v>172529818.5</v>
          </cell>
        </row>
        <row r="21">
          <cell r="B21">
            <v>182</v>
          </cell>
          <cell r="C21">
            <v>11</v>
          </cell>
          <cell r="D21" t="str">
            <v>182 - TW - 2 - 05</v>
          </cell>
          <cell r="E21">
            <v>4500090138</v>
          </cell>
          <cell r="F21">
            <v>2425</v>
          </cell>
          <cell r="G21" t="str">
            <v>Boja</v>
          </cell>
          <cell r="H21" t="str">
            <v>Jawa Tengah</v>
          </cell>
          <cell r="I21" t="str">
            <v>71m Light</v>
          </cell>
          <cell r="J21">
            <v>13393.87</v>
          </cell>
          <cell r="K21">
            <v>568.52999999999884</v>
          </cell>
          <cell r="L21">
            <v>13962.4</v>
          </cell>
          <cell r="M21">
            <v>13962.4</v>
          </cell>
          <cell r="N21">
            <v>176973420</v>
          </cell>
        </row>
        <row r="22">
          <cell r="B22">
            <v>183</v>
          </cell>
          <cell r="C22">
            <v>12</v>
          </cell>
          <cell r="D22" t="str">
            <v>183 - TW - 2 - 05</v>
          </cell>
          <cell r="E22">
            <v>4500090195</v>
          </cell>
          <cell r="F22">
            <v>2479</v>
          </cell>
          <cell r="G22" t="str">
            <v>Guci</v>
          </cell>
          <cell r="H22" t="str">
            <v>Jawa Tengah</v>
          </cell>
          <cell r="I22" t="str">
            <v>51m Light</v>
          </cell>
          <cell r="J22">
            <v>7175.65</v>
          </cell>
          <cell r="K22">
            <v>578.01000000000022</v>
          </cell>
          <cell r="L22">
            <v>7753.66</v>
          </cell>
          <cell r="M22">
            <v>7753.66</v>
          </cell>
          <cell r="N22">
            <v>98277640.5</v>
          </cell>
        </row>
        <row r="23">
          <cell r="B23">
            <v>184</v>
          </cell>
          <cell r="C23">
            <v>13</v>
          </cell>
          <cell r="D23" t="str">
            <v>184 - TW - 2 - 05</v>
          </cell>
          <cell r="E23">
            <v>4500090186</v>
          </cell>
          <cell r="F23" t="str">
            <v>A605</v>
          </cell>
          <cell r="G23" t="str">
            <v>Karangjati Madiun</v>
          </cell>
          <cell r="H23" t="str">
            <v>Jawa Timur</v>
          </cell>
          <cell r="I23" t="str">
            <v>51m Light</v>
          </cell>
          <cell r="J23">
            <v>7175.65</v>
          </cell>
          <cell r="K23">
            <v>1062.8000000000011</v>
          </cell>
          <cell r="L23">
            <v>8238.4500000000007</v>
          </cell>
          <cell r="M23">
            <v>8238.4500000000007</v>
          </cell>
          <cell r="N23">
            <v>104422353.75000001</v>
          </cell>
        </row>
        <row r="24">
          <cell r="B24">
            <v>185</v>
          </cell>
          <cell r="C24">
            <v>14</v>
          </cell>
          <cell r="D24" t="str">
            <v>185 - TW - 2 - 05</v>
          </cell>
          <cell r="E24">
            <v>4500090178</v>
          </cell>
          <cell r="F24" t="str">
            <v>A621</v>
          </cell>
          <cell r="G24" t="str">
            <v>Warujayeng</v>
          </cell>
          <cell r="H24" t="str">
            <v>Jawa Timur</v>
          </cell>
          <cell r="I24" t="str">
            <v>51m Light</v>
          </cell>
          <cell r="J24">
            <v>7175.65</v>
          </cell>
          <cell r="K24">
            <v>769.96</v>
          </cell>
          <cell r="L24">
            <v>7945.61</v>
          </cell>
          <cell r="M24">
            <v>7945.61</v>
          </cell>
          <cell r="N24">
            <v>100710606.75</v>
          </cell>
        </row>
        <row r="25">
          <cell r="B25">
            <v>186</v>
          </cell>
          <cell r="C25">
            <v>15</v>
          </cell>
          <cell r="D25" t="str">
            <v>186 - TW - 2 - 05</v>
          </cell>
          <cell r="E25">
            <v>4500090172</v>
          </cell>
          <cell r="F25" t="str">
            <v>A622</v>
          </cell>
          <cell r="G25" t="str">
            <v>Pace</v>
          </cell>
          <cell r="H25" t="str">
            <v>Jawa Timur</v>
          </cell>
          <cell r="I25" t="str">
            <v>51m Light</v>
          </cell>
          <cell r="J25">
            <v>7175.65</v>
          </cell>
          <cell r="K25">
            <v>769.96</v>
          </cell>
          <cell r="L25">
            <v>7945.61</v>
          </cell>
          <cell r="M25">
            <v>7945.61</v>
          </cell>
          <cell r="N25">
            <v>100710606.75</v>
          </cell>
        </row>
        <row r="26">
          <cell r="B26">
            <v>187</v>
          </cell>
          <cell r="C26">
            <v>16</v>
          </cell>
          <cell r="D26" t="str">
            <v>187 - TW - 2 - 05</v>
          </cell>
          <cell r="E26">
            <v>4500090148</v>
          </cell>
          <cell r="F26">
            <v>2435</v>
          </cell>
          <cell r="G26" t="str">
            <v>Karanggede</v>
          </cell>
          <cell r="H26" t="str">
            <v>Jawa Tengah</v>
          </cell>
          <cell r="I26" t="str">
            <v>71m Light</v>
          </cell>
          <cell r="J26">
            <v>13393.87</v>
          </cell>
          <cell r="K26">
            <v>610.71999999999935</v>
          </cell>
          <cell r="L26">
            <v>14004.59</v>
          </cell>
          <cell r="M26">
            <v>14004.59</v>
          </cell>
          <cell r="N26">
            <v>177508178.25</v>
          </cell>
        </row>
        <row r="27">
          <cell r="B27">
            <v>188</v>
          </cell>
          <cell r="C27">
            <v>17</v>
          </cell>
          <cell r="D27" t="str">
            <v>188 - TW - 2 - 05</v>
          </cell>
          <cell r="E27">
            <v>4500090202</v>
          </cell>
          <cell r="F27">
            <v>2473</v>
          </cell>
          <cell r="G27" t="str">
            <v>Karang Pandan</v>
          </cell>
          <cell r="H27" t="str">
            <v>Jawa Tengah</v>
          </cell>
          <cell r="I27" t="str">
            <v>71m Light</v>
          </cell>
          <cell r="J27">
            <v>13393.87</v>
          </cell>
          <cell r="K27">
            <v>394.07999999999993</v>
          </cell>
          <cell r="L27">
            <v>13787.95</v>
          </cell>
          <cell r="M27">
            <v>13787.92</v>
          </cell>
          <cell r="N27">
            <v>174761886</v>
          </cell>
        </row>
        <row r="28">
          <cell r="B28">
            <v>189</v>
          </cell>
          <cell r="C28">
            <v>18</v>
          </cell>
          <cell r="D28" t="str">
            <v>189 - TW - 2 - 05</v>
          </cell>
          <cell r="E28">
            <v>4500090541</v>
          </cell>
          <cell r="F28">
            <v>4963</v>
          </cell>
          <cell r="G28" t="str">
            <v>Mekarwangi Bekasi</v>
          </cell>
          <cell r="H28" t="str">
            <v>Jawa Barat</v>
          </cell>
          <cell r="I28" t="str">
            <v>51m Light</v>
          </cell>
          <cell r="J28">
            <v>7175.65</v>
          </cell>
          <cell r="K28">
            <v>503.17000000000007</v>
          </cell>
          <cell r="L28">
            <v>7678.82</v>
          </cell>
          <cell r="M28">
            <v>7678.82</v>
          </cell>
          <cell r="N28">
            <v>97329043.5</v>
          </cell>
        </row>
        <row r="29">
          <cell r="B29">
            <v>190</v>
          </cell>
          <cell r="C29">
            <v>19</v>
          </cell>
          <cell r="D29" t="str">
            <v>190 - TW - 2 - 05</v>
          </cell>
          <cell r="E29">
            <v>4500090555</v>
          </cell>
          <cell r="F29">
            <v>4969</v>
          </cell>
          <cell r="G29" t="str">
            <v>Cikarang Cibarusah</v>
          </cell>
          <cell r="H29" t="str">
            <v>Jawa Barat</v>
          </cell>
          <cell r="I29" t="str">
            <v>51m Light</v>
          </cell>
          <cell r="J29">
            <v>7175.65</v>
          </cell>
          <cell r="K29">
            <v>509.17000000000007</v>
          </cell>
          <cell r="L29">
            <v>7684.82</v>
          </cell>
          <cell r="M29">
            <v>7684.82</v>
          </cell>
          <cell r="N29">
            <v>97405093.5</v>
          </cell>
        </row>
        <row r="30">
          <cell r="B30">
            <v>191</v>
          </cell>
          <cell r="C30">
            <v>20</v>
          </cell>
          <cell r="D30" t="str">
            <v>191 - TW - 2 - 05</v>
          </cell>
          <cell r="E30">
            <v>4500090210</v>
          </cell>
          <cell r="F30">
            <v>2471</v>
          </cell>
          <cell r="G30" t="str">
            <v>Pracimantoro</v>
          </cell>
          <cell r="H30" t="str">
            <v>Jawa Tengah</v>
          </cell>
          <cell r="I30" t="str">
            <v>71m Light</v>
          </cell>
          <cell r="J30">
            <v>13393.87</v>
          </cell>
          <cell r="K30">
            <v>568.52999999999884</v>
          </cell>
          <cell r="L30">
            <v>13962.4</v>
          </cell>
          <cell r="M30">
            <v>13962.4</v>
          </cell>
          <cell r="N30">
            <v>176973420</v>
          </cell>
        </row>
        <row r="31">
          <cell r="B31">
            <v>192</v>
          </cell>
          <cell r="C31">
            <v>21</v>
          </cell>
          <cell r="D31" t="str">
            <v>192 - TW - 2 - 05</v>
          </cell>
          <cell r="E31">
            <v>4500090216</v>
          </cell>
          <cell r="F31">
            <v>2470</v>
          </cell>
          <cell r="G31" t="str">
            <v>Nglipar</v>
          </cell>
          <cell r="H31" t="str">
            <v>Jawa Tengah</v>
          </cell>
          <cell r="I31" t="str">
            <v>71m Light</v>
          </cell>
          <cell r="J31">
            <v>13393.87</v>
          </cell>
          <cell r="K31">
            <v>568.52999999999884</v>
          </cell>
          <cell r="L31">
            <v>13962.4</v>
          </cell>
          <cell r="M31">
            <v>13962.4</v>
          </cell>
          <cell r="N31">
            <v>176973420</v>
          </cell>
        </row>
        <row r="32">
          <cell r="B32">
            <v>193</v>
          </cell>
          <cell r="C32">
            <v>22</v>
          </cell>
          <cell r="D32" t="str">
            <v>193 - TW - 2 - 05</v>
          </cell>
          <cell r="E32">
            <v>4500090226</v>
          </cell>
          <cell r="F32">
            <v>2462</v>
          </cell>
          <cell r="G32" t="str">
            <v>Loana</v>
          </cell>
          <cell r="H32" t="str">
            <v>Jawa Tengah</v>
          </cell>
          <cell r="I32" t="str">
            <v>71m Light</v>
          </cell>
          <cell r="J32">
            <v>13393.87</v>
          </cell>
          <cell r="K32">
            <v>567.09999999999854</v>
          </cell>
          <cell r="L32">
            <v>13960.97</v>
          </cell>
          <cell r="M32">
            <v>13960.97</v>
          </cell>
          <cell r="N32">
            <v>176955294.75</v>
          </cell>
        </row>
        <row r="33">
          <cell r="B33">
            <v>194</v>
          </cell>
          <cell r="C33">
            <v>23</v>
          </cell>
          <cell r="D33" t="str">
            <v>194 - TW - 2 - 05</v>
          </cell>
          <cell r="E33">
            <v>4500090231</v>
          </cell>
          <cell r="F33">
            <v>2459</v>
          </cell>
          <cell r="G33" t="str">
            <v>Suruh</v>
          </cell>
          <cell r="H33" t="str">
            <v>Jawa Tengah</v>
          </cell>
          <cell r="I33" t="str">
            <v>71m Light</v>
          </cell>
          <cell r="J33">
            <v>13393.87</v>
          </cell>
          <cell r="K33">
            <v>567.09999999999854</v>
          </cell>
          <cell r="L33">
            <v>13960.97</v>
          </cell>
          <cell r="M33">
            <v>13960.97</v>
          </cell>
          <cell r="N33">
            <v>176955294.75</v>
          </cell>
        </row>
        <row r="34">
          <cell r="B34">
            <v>195</v>
          </cell>
          <cell r="C34">
            <v>24</v>
          </cell>
          <cell r="D34" t="str">
            <v>195 - TW - 2 - 05</v>
          </cell>
          <cell r="E34">
            <v>4500090236</v>
          </cell>
          <cell r="F34">
            <v>2445</v>
          </cell>
          <cell r="G34" t="str">
            <v>Purwantoro</v>
          </cell>
          <cell r="H34" t="str">
            <v>Jawa Tengah</v>
          </cell>
          <cell r="I34" t="str">
            <v>71m Light</v>
          </cell>
          <cell r="J34">
            <v>13393.87</v>
          </cell>
          <cell r="K34">
            <v>610.71999999999935</v>
          </cell>
          <cell r="L34">
            <v>14004.59</v>
          </cell>
          <cell r="M34">
            <v>14004.59</v>
          </cell>
          <cell r="N34">
            <v>177508178.25</v>
          </cell>
        </row>
        <row r="35">
          <cell r="B35">
            <v>196</v>
          </cell>
          <cell r="C35">
            <v>25</v>
          </cell>
          <cell r="D35" t="str">
            <v>196 - TW - 2 - 05</v>
          </cell>
          <cell r="E35">
            <v>4500090241</v>
          </cell>
          <cell r="F35">
            <v>2442</v>
          </cell>
          <cell r="G35" t="str">
            <v>Nguter</v>
          </cell>
          <cell r="H35" t="str">
            <v>Jawa Tengah</v>
          </cell>
          <cell r="I35" t="str">
            <v>51m Light</v>
          </cell>
          <cell r="J35">
            <v>7175.65</v>
          </cell>
          <cell r="K35">
            <v>392.46000000000004</v>
          </cell>
          <cell r="L35">
            <v>7568.11</v>
          </cell>
          <cell r="M35">
            <v>7568.11</v>
          </cell>
          <cell r="N35">
            <v>95925794.25</v>
          </cell>
        </row>
        <row r="36">
          <cell r="B36">
            <v>197</v>
          </cell>
          <cell r="C36">
            <v>26</v>
          </cell>
          <cell r="D36" t="str">
            <v>197 - TW - 2 - 05</v>
          </cell>
          <cell r="E36">
            <v>4500090246</v>
          </cell>
          <cell r="F36">
            <v>3972</v>
          </cell>
          <cell r="G36" t="str">
            <v>Bengkuring</v>
          </cell>
          <cell r="H36" t="str">
            <v>Kaltim</v>
          </cell>
          <cell r="I36" t="str">
            <v>71m Light</v>
          </cell>
          <cell r="J36">
            <v>13393.87</v>
          </cell>
          <cell r="K36">
            <v>566.18999999999869</v>
          </cell>
          <cell r="L36">
            <v>13960.06</v>
          </cell>
          <cell r="M36">
            <v>13960.06</v>
          </cell>
          <cell r="N36">
            <v>176943760.5</v>
          </cell>
        </row>
        <row r="37">
          <cell r="B37">
            <v>199</v>
          </cell>
          <cell r="C37">
            <v>27</v>
          </cell>
          <cell r="D37" t="str">
            <v>199 - TW - 2 - 05</v>
          </cell>
          <cell r="E37">
            <v>4500090386</v>
          </cell>
          <cell r="F37">
            <v>3544</v>
          </cell>
          <cell r="G37" t="str">
            <v>Cempaka</v>
          </cell>
          <cell r="H37" t="str">
            <v>Kaltim</v>
          </cell>
          <cell r="I37" t="str">
            <v>71m Light</v>
          </cell>
          <cell r="J37">
            <v>13393.87</v>
          </cell>
          <cell r="K37">
            <v>830.67000000000007</v>
          </cell>
          <cell r="L37">
            <v>14224.54</v>
          </cell>
          <cell r="M37">
            <v>14224.54</v>
          </cell>
          <cell r="N37">
            <v>180296044.5</v>
          </cell>
        </row>
        <row r="38">
          <cell r="B38">
            <v>200</v>
          </cell>
          <cell r="C38">
            <v>28</v>
          </cell>
          <cell r="D38" t="str">
            <v>200 - TW - 2 - 05</v>
          </cell>
          <cell r="E38">
            <v>4500090382</v>
          </cell>
          <cell r="F38">
            <v>3954</v>
          </cell>
          <cell r="G38" t="str">
            <v>Sangata lama</v>
          </cell>
          <cell r="H38" t="str">
            <v>Kaltim</v>
          </cell>
          <cell r="I38" t="str">
            <v>71m Light</v>
          </cell>
          <cell r="J38">
            <v>13393.87</v>
          </cell>
          <cell r="K38">
            <v>586.64999999999964</v>
          </cell>
          <cell r="L38">
            <v>13980.52</v>
          </cell>
          <cell r="M38">
            <v>13980.52</v>
          </cell>
          <cell r="N38">
            <v>177203091</v>
          </cell>
        </row>
        <row r="39">
          <cell r="B39">
            <v>201</v>
          </cell>
          <cell r="C39">
            <v>29</v>
          </cell>
          <cell r="D39" t="str">
            <v>201 - TW - 2 - 05</v>
          </cell>
          <cell r="E39">
            <v>4500090379</v>
          </cell>
          <cell r="F39">
            <v>3955</v>
          </cell>
          <cell r="G39" t="str">
            <v>Rawa Indah</v>
          </cell>
          <cell r="H39" t="str">
            <v>Kaltim</v>
          </cell>
          <cell r="I39" t="str">
            <v>61m Light</v>
          </cell>
          <cell r="J39">
            <v>10597.6</v>
          </cell>
          <cell r="K39">
            <v>309.10000000000036</v>
          </cell>
          <cell r="L39">
            <v>10906.7</v>
          </cell>
          <cell r="M39">
            <v>10906.7</v>
          </cell>
          <cell r="N39">
            <v>138242422.5</v>
          </cell>
        </row>
        <row r="40">
          <cell r="B40">
            <v>202</v>
          </cell>
          <cell r="C40">
            <v>30</v>
          </cell>
          <cell r="D40" t="str">
            <v>202 - TW - 2 - 05</v>
          </cell>
          <cell r="E40">
            <v>4500090363</v>
          </cell>
          <cell r="F40">
            <v>2823</v>
          </cell>
          <cell r="G40" t="str">
            <v>Tegalalang</v>
          </cell>
          <cell r="H40" t="str">
            <v>Bali</v>
          </cell>
          <cell r="I40" t="str">
            <v>71m Light</v>
          </cell>
          <cell r="J40">
            <v>13393.87</v>
          </cell>
          <cell r="K40">
            <v>654.1299999999992</v>
          </cell>
          <cell r="L40">
            <v>14048</v>
          </cell>
          <cell r="M40">
            <v>14048</v>
          </cell>
          <cell r="N40">
            <v>178058400</v>
          </cell>
        </row>
        <row r="41">
          <cell r="B41">
            <v>203</v>
          </cell>
          <cell r="C41">
            <v>31</v>
          </cell>
          <cell r="D41" t="str">
            <v>203 - TW - 2 - 05</v>
          </cell>
          <cell r="E41">
            <v>4500090360</v>
          </cell>
          <cell r="F41" t="str">
            <v>C405</v>
          </cell>
          <cell r="G41" t="str">
            <v>Bandara Rahadi Usman</v>
          </cell>
          <cell r="H41" t="str">
            <v>Kalbar</v>
          </cell>
          <cell r="I41" t="str">
            <v>41m Light</v>
          </cell>
          <cell r="J41">
            <v>5369.12</v>
          </cell>
          <cell r="K41">
            <v>564.76000000000022</v>
          </cell>
          <cell r="L41">
            <v>5933.88</v>
          </cell>
          <cell r="M41">
            <v>5933.88</v>
          </cell>
          <cell r="N41">
            <v>75211929</v>
          </cell>
        </row>
        <row r="42">
          <cell r="B42">
            <v>204</v>
          </cell>
          <cell r="C42">
            <v>32</v>
          </cell>
          <cell r="D42" t="str">
            <v>204 - TW - 2 - 05</v>
          </cell>
          <cell r="E42">
            <v>4500090350</v>
          </cell>
          <cell r="F42">
            <v>2721</v>
          </cell>
          <cell r="G42" t="str">
            <v>Raba</v>
          </cell>
          <cell r="H42" t="str">
            <v>NTB</v>
          </cell>
          <cell r="I42" t="str">
            <v>51m Light</v>
          </cell>
          <cell r="J42">
            <v>7175.65</v>
          </cell>
          <cell r="K42">
            <v>654.16000000000076</v>
          </cell>
          <cell r="L42">
            <v>7829.81</v>
          </cell>
          <cell r="M42">
            <v>7829.81</v>
          </cell>
          <cell r="N42">
            <v>99242841.75</v>
          </cell>
        </row>
        <row r="43">
          <cell r="B43">
            <v>205</v>
          </cell>
          <cell r="C43">
            <v>33</v>
          </cell>
          <cell r="D43" t="str">
            <v>205 - TW - 2 - 05</v>
          </cell>
          <cell r="E43">
            <v>4500090355</v>
          </cell>
          <cell r="F43">
            <v>2723</v>
          </cell>
          <cell r="G43" t="str">
            <v>Maria</v>
          </cell>
          <cell r="H43" t="str">
            <v>NTB</v>
          </cell>
          <cell r="I43" t="str">
            <v>71m Light</v>
          </cell>
          <cell r="J43">
            <v>13393.87</v>
          </cell>
          <cell r="K43">
            <v>460.03999999999905</v>
          </cell>
          <cell r="L43">
            <v>13853.91</v>
          </cell>
          <cell r="M43">
            <v>13853.91</v>
          </cell>
          <cell r="N43">
            <v>175598309.25</v>
          </cell>
        </row>
        <row r="44">
          <cell r="B44">
            <v>206</v>
          </cell>
          <cell r="C44">
            <v>34</v>
          </cell>
          <cell r="D44" t="str">
            <v>206 - TW - 2 - 05</v>
          </cell>
          <cell r="E44">
            <v>4500090108</v>
          </cell>
          <cell r="F44">
            <v>2407</v>
          </cell>
          <cell r="G44" t="str">
            <v>Temon</v>
          </cell>
          <cell r="H44" t="str">
            <v>Jawa Tengah</v>
          </cell>
          <cell r="I44" t="str">
            <v>71m Light</v>
          </cell>
          <cell r="J44">
            <v>13393.87</v>
          </cell>
          <cell r="K44">
            <v>568.52999999999884</v>
          </cell>
          <cell r="L44">
            <v>13962.4</v>
          </cell>
          <cell r="M44">
            <v>13962.4</v>
          </cell>
          <cell r="N44">
            <v>176973420</v>
          </cell>
        </row>
        <row r="45">
          <cell r="B45">
            <v>207</v>
          </cell>
          <cell r="C45">
            <v>35</v>
          </cell>
          <cell r="D45" t="str">
            <v>207 - TW - 2 - 05</v>
          </cell>
          <cell r="E45">
            <v>4500090100</v>
          </cell>
          <cell r="F45">
            <v>2406</v>
          </cell>
          <cell r="G45" t="str">
            <v>Sentolo</v>
          </cell>
          <cell r="H45" t="str">
            <v>Jawa Tengah</v>
          </cell>
          <cell r="I45" t="str">
            <v>71m Light</v>
          </cell>
          <cell r="J45">
            <v>13393.87</v>
          </cell>
          <cell r="K45">
            <v>393.6299999999992</v>
          </cell>
          <cell r="L45">
            <v>13787.5</v>
          </cell>
          <cell r="M45">
            <v>13787.5</v>
          </cell>
          <cell r="N45">
            <v>174756562.5</v>
          </cell>
        </row>
        <row r="46">
          <cell r="B46">
            <v>208</v>
          </cell>
          <cell r="C46">
            <v>36</v>
          </cell>
          <cell r="D46" t="str">
            <v>208 - TW - 2 - 05</v>
          </cell>
          <cell r="E46">
            <v>4500090093</v>
          </cell>
          <cell r="F46">
            <v>4964</v>
          </cell>
          <cell r="G46" t="str">
            <v>Mustikajaya Bekasi</v>
          </cell>
          <cell r="H46" t="str">
            <v>Jawa Barat</v>
          </cell>
          <cell r="I46" t="str">
            <v>51m Light</v>
          </cell>
          <cell r="J46">
            <v>7175.65</v>
          </cell>
          <cell r="K46">
            <v>523.5600000000004</v>
          </cell>
          <cell r="L46">
            <v>7699.21</v>
          </cell>
          <cell r="M46">
            <v>7699.21</v>
          </cell>
          <cell r="N46">
            <v>97587486.75</v>
          </cell>
        </row>
        <row r="47">
          <cell r="B47">
            <v>209</v>
          </cell>
          <cell r="C47">
            <v>37</v>
          </cell>
          <cell r="D47" t="str">
            <v>209 - TW - 2 - 05</v>
          </cell>
          <cell r="E47">
            <v>4500090612</v>
          </cell>
          <cell r="F47">
            <v>4970</v>
          </cell>
          <cell r="G47" t="str">
            <v>Segaramakmur</v>
          </cell>
          <cell r="H47" t="str">
            <v>Jawa Barat</v>
          </cell>
          <cell r="I47" t="str">
            <v>51m Light</v>
          </cell>
          <cell r="J47">
            <v>7175.65</v>
          </cell>
          <cell r="K47">
            <v>526.91000000000076</v>
          </cell>
          <cell r="L47">
            <v>7702.56</v>
          </cell>
          <cell r="M47">
            <v>7702.56</v>
          </cell>
          <cell r="N47">
            <v>97629948</v>
          </cell>
        </row>
        <row r="48">
          <cell r="B48">
            <v>210</v>
          </cell>
          <cell r="C48">
            <v>38</v>
          </cell>
          <cell r="D48" t="str">
            <v>210 - TW - 2 - 05</v>
          </cell>
          <cell r="E48">
            <v>4500090625</v>
          </cell>
          <cell r="F48">
            <v>2478</v>
          </cell>
          <cell r="G48" t="str">
            <v>Tonjong</v>
          </cell>
          <cell r="H48" t="str">
            <v>Jawa Tengah</v>
          </cell>
          <cell r="I48" t="str">
            <v>71m Light</v>
          </cell>
          <cell r="J48">
            <v>13393.87</v>
          </cell>
          <cell r="K48">
            <v>350.21999999999935</v>
          </cell>
          <cell r="L48">
            <v>13744.09</v>
          </cell>
          <cell r="M48">
            <v>13744.09</v>
          </cell>
          <cell r="N48">
            <v>174206340.75</v>
          </cell>
        </row>
        <row r="49">
          <cell r="B49">
            <v>211</v>
          </cell>
          <cell r="C49">
            <v>39</v>
          </cell>
          <cell r="D49" t="str">
            <v>211 - TW - 2 - 05</v>
          </cell>
          <cell r="E49">
            <v>4500090681</v>
          </cell>
          <cell r="F49" t="str">
            <v>A608</v>
          </cell>
          <cell r="G49" t="str">
            <v>Sumber Gempol</v>
          </cell>
          <cell r="H49" t="str">
            <v>Jawa Timur</v>
          </cell>
          <cell r="I49" t="str">
            <v>51m Light</v>
          </cell>
          <cell r="J49">
            <v>7175.65</v>
          </cell>
          <cell r="K49">
            <v>769.96</v>
          </cell>
          <cell r="L49">
            <v>7945.61</v>
          </cell>
          <cell r="M49">
            <v>7945.61</v>
          </cell>
          <cell r="N49">
            <v>100710606.75</v>
          </cell>
        </row>
        <row r="50">
          <cell r="B50">
            <v>212</v>
          </cell>
          <cell r="C50">
            <v>40</v>
          </cell>
          <cell r="D50" t="str">
            <v>212 - TW - 2 - 05</v>
          </cell>
          <cell r="E50">
            <v>4500090696</v>
          </cell>
          <cell r="F50">
            <v>4924</v>
          </cell>
          <cell r="G50" t="str">
            <v>Deltamas Bekasi</v>
          </cell>
          <cell r="H50" t="str">
            <v>Jawa Barat</v>
          </cell>
          <cell r="I50" t="str">
            <v>51m Light</v>
          </cell>
          <cell r="J50">
            <v>7175.65</v>
          </cell>
          <cell r="K50">
            <v>526.91000000000076</v>
          </cell>
          <cell r="L50">
            <v>7702.56</v>
          </cell>
          <cell r="M50">
            <v>7702.56</v>
          </cell>
          <cell r="N50">
            <v>97629948</v>
          </cell>
        </row>
        <row r="51">
          <cell r="B51">
            <v>213</v>
          </cell>
          <cell r="C51">
            <v>41</v>
          </cell>
          <cell r="D51" t="str">
            <v>213 - TW - 2 - 05</v>
          </cell>
          <cell r="E51">
            <v>4500090699</v>
          </cell>
          <cell r="F51">
            <v>2837</v>
          </cell>
          <cell r="G51" t="str">
            <v>Bunutin</v>
          </cell>
          <cell r="H51" t="str">
            <v>Bali</v>
          </cell>
          <cell r="I51" t="str">
            <v>51m Light</v>
          </cell>
          <cell r="J51">
            <v>7175.65</v>
          </cell>
          <cell r="K51">
            <v>553.95000000000073</v>
          </cell>
          <cell r="L51">
            <v>7729.6</v>
          </cell>
          <cell r="M51">
            <v>7729.6</v>
          </cell>
          <cell r="N51">
            <v>97972680</v>
          </cell>
        </row>
        <row r="52">
          <cell r="B52">
            <v>214</v>
          </cell>
          <cell r="C52">
            <v>42</v>
          </cell>
          <cell r="D52" t="str">
            <v>214 - TW - 2 - 05</v>
          </cell>
          <cell r="E52">
            <v>4500090702</v>
          </cell>
          <cell r="F52">
            <v>3471</v>
          </cell>
          <cell r="G52" t="str">
            <v>Pasar Panas</v>
          </cell>
          <cell r="H52" t="str">
            <v>Kaltim</v>
          </cell>
          <cell r="I52" t="str">
            <v>71m Light</v>
          </cell>
          <cell r="J52">
            <v>13393.87</v>
          </cell>
          <cell r="K52">
            <v>493.48999999999978</v>
          </cell>
          <cell r="L52">
            <v>13887.36</v>
          </cell>
          <cell r="M52">
            <v>13887.36</v>
          </cell>
          <cell r="N52">
            <v>176022288</v>
          </cell>
        </row>
        <row r="53">
          <cell r="B53">
            <v>215</v>
          </cell>
          <cell r="C53">
            <v>43</v>
          </cell>
          <cell r="D53" t="str">
            <v>215 - TW - 2 - 05</v>
          </cell>
          <cell r="E53">
            <v>4500090723</v>
          </cell>
          <cell r="F53">
            <v>1790</v>
          </cell>
          <cell r="G53" t="str">
            <v>Purwodadi Situbondo</v>
          </cell>
          <cell r="H53" t="str">
            <v>Jawa Timur</v>
          </cell>
          <cell r="I53" t="str">
            <v>71m Light</v>
          </cell>
          <cell r="J53">
            <v>13393.87</v>
          </cell>
          <cell r="K53">
            <v>765</v>
          </cell>
          <cell r="L53">
            <v>14158.87</v>
          </cell>
          <cell r="M53">
            <v>14158.87</v>
          </cell>
          <cell r="N53">
            <v>179463677.25</v>
          </cell>
        </row>
        <row r="54">
          <cell r="B54">
            <v>216</v>
          </cell>
          <cell r="C54">
            <v>44</v>
          </cell>
          <cell r="D54" t="str">
            <v>216 - TW - 2 - 05</v>
          </cell>
          <cell r="E54">
            <v>4500090842</v>
          </cell>
          <cell r="F54">
            <v>4968</v>
          </cell>
          <cell r="G54" t="str">
            <v>Sukamanah Bekasi</v>
          </cell>
          <cell r="H54" t="str">
            <v>Jawa Barat</v>
          </cell>
          <cell r="I54" t="str">
            <v>51m Light</v>
          </cell>
          <cell r="J54">
            <v>7175.65</v>
          </cell>
          <cell r="K54">
            <v>545.57000000000062</v>
          </cell>
          <cell r="L54">
            <v>7721.22</v>
          </cell>
          <cell r="M54">
            <v>7721.22</v>
          </cell>
          <cell r="N54">
            <v>97866463.5</v>
          </cell>
        </row>
        <row r="55">
          <cell r="B55">
            <v>217</v>
          </cell>
          <cell r="C55">
            <v>45</v>
          </cell>
          <cell r="D55" t="str">
            <v>217 - TW - 2 - 05</v>
          </cell>
          <cell r="E55">
            <v>4500090855</v>
          </cell>
          <cell r="F55">
            <v>2835</v>
          </cell>
          <cell r="G55" t="str">
            <v>Mendoyo</v>
          </cell>
          <cell r="H55" t="str">
            <v>Bali</v>
          </cell>
          <cell r="I55" t="str">
            <v>51m Light</v>
          </cell>
          <cell r="J55">
            <v>7175.65</v>
          </cell>
          <cell r="K55">
            <v>653.35000000000036</v>
          </cell>
          <cell r="L55">
            <v>7829</v>
          </cell>
          <cell r="M55">
            <v>7829</v>
          </cell>
          <cell r="N55">
            <v>99232575</v>
          </cell>
        </row>
        <row r="56">
          <cell r="B56">
            <v>219</v>
          </cell>
          <cell r="C56">
            <v>46</v>
          </cell>
          <cell r="D56" t="str">
            <v>219 - TW - 2 - 05</v>
          </cell>
          <cell r="E56">
            <v>4500090221</v>
          </cell>
          <cell r="F56">
            <v>2467</v>
          </cell>
          <cell r="G56" t="str">
            <v>Playen</v>
          </cell>
          <cell r="H56" t="str">
            <v>Jawa Tengah</v>
          </cell>
          <cell r="I56" t="str">
            <v>51m Light</v>
          </cell>
          <cell r="J56">
            <v>4523.7700000000004</v>
          </cell>
          <cell r="K56">
            <v>43.089999999999236</v>
          </cell>
          <cell r="L56">
            <v>4566.8599999999997</v>
          </cell>
          <cell r="M56">
            <v>4566.8599999999997</v>
          </cell>
          <cell r="N56">
            <v>57884950.499999993</v>
          </cell>
        </row>
        <row r="57">
          <cell r="B57">
            <v>257</v>
          </cell>
          <cell r="C57">
            <v>47</v>
          </cell>
          <cell r="D57" t="str">
            <v>257 - TW - 2 - 05</v>
          </cell>
          <cell r="E57">
            <v>4500092152</v>
          </cell>
          <cell r="F57">
            <v>2430</v>
          </cell>
          <cell r="G57" t="str">
            <v>Surodadi</v>
          </cell>
          <cell r="H57" t="str">
            <v>Jawa Tengah</v>
          </cell>
          <cell r="I57" t="str">
            <v>71m Light</v>
          </cell>
          <cell r="M57">
            <v>13962.4</v>
          </cell>
          <cell r="N57">
            <v>176973420</v>
          </cell>
        </row>
        <row r="58">
          <cell r="B58">
            <v>258</v>
          </cell>
          <cell r="C58">
            <v>48</v>
          </cell>
          <cell r="D58" t="str">
            <v>258 - TW - 2 - 05</v>
          </cell>
          <cell r="E58">
            <v>4500092156</v>
          </cell>
          <cell r="F58">
            <v>2436</v>
          </cell>
          <cell r="G58" t="str">
            <v>Simo</v>
          </cell>
          <cell r="H58" t="str">
            <v>Jawa Tengah</v>
          </cell>
          <cell r="I58" t="str">
            <v>71m Light</v>
          </cell>
          <cell r="M58">
            <v>13786.49</v>
          </cell>
          <cell r="N58">
            <v>174743760.75</v>
          </cell>
        </row>
        <row r="59">
          <cell r="B59">
            <v>260</v>
          </cell>
          <cell r="C59">
            <v>49</v>
          </cell>
          <cell r="D59" t="str">
            <v>260 - TW - 2 - 05</v>
          </cell>
          <cell r="E59">
            <v>4500092224</v>
          </cell>
          <cell r="G59" t="str">
            <v>Baturetno</v>
          </cell>
          <cell r="H59" t="str">
            <v>Jawa Tengah</v>
          </cell>
          <cell r="I59" t="str">
            <v>71m Light</v>
          </cell>
          <cell r="M59">
            <v>13942.73</v>
          </cell>
          <cell r="N59">
            <v>176724102.75000003</v>
          </cell>
        </row>
      </sheetData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 refreshError="1"/>
      <sheetData sheetId="128" refreshError="1"/>
      <sheetData sheetId="12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 Tower"/>
      <sheetName val="Lampiran MTO"/>
      <sheetName val="MTO 71"/>
      <sheetName val="RBO Tower"/>
      <sheetName val="RBO 263"/>
      <sheetName val="RBO 268"/>
      <sheetName val="RBO 285"/>
      <sheetName val="RBO 303"/>
      <sheetName val="RBO 304"/>
      <sheetName val="RBO 305"/>
      <sheetName val="RBO 307"/>
      <sheetName val="RBO 308"/>
      <sheetName val="RBO 310"/>
      <sheetName val="RBO 322"/>
      <sheetName val="RBO 329"/>
      <sheetName val="Material Mounting"/>
      <sheetName val="Tower 61 Meter "/>
      <sheetName val="MNR6"/>
      <sheetName val="Mat_Tower"/>
      <sheetName val="Lampiran_MTO"/>
      <sheetName val="MTO_71"/>
      <sheetName val="RBO_Tower"/>
      <sheetName val="RBO_263"/>
      <sheetName val="RBO_268"/>
      <sheetName val="RBO_285"/>
      <sheetName val="RBO_303"/>
      <sheetName val="RBO_304"/>
      <sheetName val="RBO_305"/>
      <sheetName val="RBO_307"/>
      <sheetName val="RBO_308"/>
      <sheetName val="RBO_310"/>
      <sheetName val="RBO_322"/>
      <sheetName val="RBO_329"/>
      <sheetName val="Material_Mounting"/>
      <sheetName val="Tower_61_Meter_"/>
      <sheetName val=" SST72~Shelter"/>
      <sheetName val="indirect"/>
      <sheetName val="Parameters"/>
      <sheetName val="Param"/>
      <sheetName val="Mat_Tower1"/>
      <sheetName val="Lampiran_MTO1"/>
      <sheetName val="MTO_711"/>
      <sheetName val="RBO_Tower1"/>
      <sheetName val="RBO_2631"/>
      <sheetName val="RBO_2681"/>
      <sheetName val="RBO_2851"/>
      <sheetName val="RBO_3031"/>
      <sheetName val="RBO_3041"/>
      <sheetName val="RBO_3051"/>
      <sheetName val="RBO_3071"/>
      <sheetName val="RBO_3081"/>
      <sheetName val="RBO_3101"/>
      <sheetName val="RBO_3221"/>
      <sheetName val="RBO_3291"/>
      <sheetName val="Material_Mounting1"/>
      <sheetName val="Tower_61_Meter_1"/>
      <sheetName val="_SST72~Shelter"/>
      <sheetName val="Ladder"/>
      <sheetName val="TP_DATABASE"/>
      <sheetName val="Inputs"/>
      <sheetName val="Rekap-ME"/>
    </sheetNames>
    <sheetDataSet>
      <sheetData sheetId="0"/>
      <sheetData sheetId="1" refreshError="1">
        <row r="12">
          <cell r="B12">
            <v>104</v>
          </cell>
          <cell r="C12">
            <v>1</v>
          </cell>
          <cell r="D12">
            <v>4500089926</v>
          </cell>
          <cell r="E12" t="str">
            <v>104-TW-2-05</v>
          </cell>
          <cell r="F12">
            <v>2429</v>
          </cell>
          <cell r="G12" t="str">
            <v>Petarukan</v>
          </cell>
          <cell r="H12" t="str">
            <v>Jawa Tengah</v>
          </cell>
          <cell r="I12" t="str">
            <v>51m Light</v>
          </cell>
          <cell r="J12">
            <v>7175.65</v>
          </cell>
          <cell r="K12">
            <v>391.42</v>
          </cell>
          <cell r="L12">
            <v>7567.07</v>
          </cell>
          <cell r="M12">
            <v>95912612.25</v>
          </cell>
          <cell r="N12">
            <v>2.5</v>
          </cell>
          <cell r="O12">
            <v>4</v>
          </cell>
          <cell r="P12">
            <v>0.31960158559527008</v>
          </cell>
          <cell r="Q12">
            <v>0.26489955657081432</v>
          </cell>
          <cell r="R12">
            <v>0.20558989518946522</v>
          </cell>
          <cell r="S12">
            <v>72</v>
          </cell>
          <cell r="T12">
            <v>0</v>
          </cell>
          <cell r="U12">
            <v>0</v>
          </cell>
          <cell r="V12">
            <v>0</v>
          </cell>
          <cell r="W12">
            <v>265.28405476425098</v>
          </cell>
        </row>
        <row r="13">
          <cell r="B13">
            <v>105</v>
          </cell>
          <cell r="C13">
            <v>2</v>
          </cell>
          <cell r="D13">
            <v>4500089914</v>
          </cell>
          <cell r="E13" t="str">
            <v>105-TW-2-05</v>
          </cell>
          <cell r="F13">
            <v>2408</v>
          </cell>
          <cell r="G13" t="str">
            <v>Bagelan</v>
          </cell>
          <cell r="H13" t="str">
            <v>Jawa Tengah</v>
          </cell>
          <cell r="I13" t="str">
            <v>71m Light</v>
          </cell>
          <cell r="J13">
            <v>13393.87</v>
          </cell>
          <cell r="K13">
            <v>394.05</v>
          </cell>
          <cell r="L13">
            <v>13787.92</v>
          </cell>
          <cell r="M13">
            <v>174761886</v>
          </cell>
          <cell r="N13">
            <v>2.5</v>
          </cell>
          <cell r="O13">
            <v>4</v>
          </cell>
          <cell r="P13">
            <v>0.32934896533190006</v>
          </cell>
          <cell r="Q13">
            <v>0.26489955657081432</v>
          </cell>
          <cell r="R13">
            <v>0.20558989518946522</v>
          </cell>
          <cell r="S13">
            <v>66</v>
          </cell>
          <cell r="T13">
            <v>3</v>
          </cell>
          <cell r="U13">
            <v>3</v>
          </cell>
          <cell r="V13">
            <v>0</v>
          </cell>
          <cell r="W13">
            <v>266.49706202036492</v>
          </cell>
        </row>
        <row r="14">
          <cell r="B14">
            <v>159</v>
          </cell>
          <cell r="C14">
            <v>3</v>
          </cell>
          <cell r="D14">
            <v>4500089952</v>
          </cell>
          <cell r="E14" t="str">
            <v>159-TW-2-05</v>
          </cell>
          <cell r="F14">
            <v>3949</v>
          </cell>
          <cell r="G14" t="str">
            <v>Tenggarong Seberang</v>
          </cell>
          <cell r="H14" t="str">
            <v>Kaltim</v>
          </cell>
          <cell r="I14" t="str">
            <v>71m Light</v>
          </cell>
          <cell r="J14">
            <v>13393.87</v>
          </cell>
          <cell r="K14">
            <v>854.63999999999942</v>
          </cell>
          <cell r="L14">
            <v>14248.51</v>
          </cell>
          <cell r="M14">
            <v>180599864.25</v>
          </cell>
          <cell r="N14">
            <v>3.5</v>
          </cell>
          <cell r="O14">
            <v>6</v>
          </cell>
          <cell r="P14">
            <v>0.59890150497178174</v>
          </cell>
          <cell r="Q14">
            <v>0.48022776135447465</v>
          </cell>
          <cell r="R14">
            <v>0.30838484278419787</v>
          </cell>
          <cell r="S14">
            <v>108</v>
          </cell>
          <cell r="T14">
            <v>3</v>
          </cell>
          <cell r="U14">
            <v>3</v>
          </cell>
          <cell r="V14">
            <v>6</v>
          </cell>
          <cell r="W14">
            <v>415.21332079190182</v>
          </cell>
        </row>
        <row r="15">
          <cell r="B15">
            <v>160</v>
          </cell>
          <cell r="C15">
            <v>4</v>
          </cell>
          <cell r="D15">
            <v>4500089909</v>
          </cell>
          <cell r="E15" t="str">
            <v>160-TW-2-05</v>
          </cell>
          <cell r="F15">
            <v>2402</v>
          </cell>
          <cell r="G15" t="str">
            <v>Jatinom</v>
          </cell>
          <cell r="H15" t="str">
            <v>Jawa Tengah</v>
          </cell>
          <cell r="I15" t="str">
            <v>71m Light</v>
          </cell>
          <cell r="J15">
            <v>13393.87</v>
          </cell>
          <cell r="K15">
            <v>568.53</v>
          </cell>
          <cell r="L15">
            <v>13962.4</v>
          </cell>
          <cell r="M15">
            <v>176973420</v>
          </cell>
          <cell r="N15">
            <v>3.5</v>
          </cell>
          <cell r="O15">
            <v>6</v>
          </cell>
          <cell r="P15">
            <v>0.45569000268744958</v>
          </cell>
          <cell r="Q15">
            <v>0.37372917226551999</v>
          </cell>
          <cell r="R15">
            <v>0.30838484278419787</v>
          </cell>
          <cell r="S15">
            <v>98</v>
          </cell>
          <cell r="T15">
            <v>3</v>
          </cell>
          <cell r="U15">
            <v>3</v>
          </cell>
          <cell r="V15">
            <v>0</v>
          </cell>
          <cell r="W15">
            <v>379.68901281017651</v>
          </cell>
        </row>
        <row r="16">
          <cell r="B16">
            <v>161</v>
          </cell>
          <cell r="C16">
            <v>5</v>
          </cell>
          <cell r="D16">
            <v>4500089962</v>
          </cell>
          <cell r="E16" t="str">
            <v>161-TW-2-05</v>
          </cell>
          <cell r="F16">
            <v>2817</v>
          </cell>
          <cell r="G16" t="str">
            <v>Pulaki</v>
          </cell>
          <cell r="H16" t="str">
            <v>Bali</v>
          </cell>
          <cell r="I16" t="str">
            <v>71m Light</v>
          </cell>
          <cell r="J16">
            <v>13393.87</v>
          </cell>
          <cell r="K16">
            <v>254.33</v>
          </cell>
          <cell r="L16">
            <v>13648.2</v>
          </cell>
          <cell r="M16">
            <v>172990935</v>
          </cell>
          <cell r="N16">
            <v>1.5</v>
          </cell>
          <cell r="O16">
            <v>2</v>
          </cell>
          <cell r="P16">
            <v>0.189886455253964</v>
          </cell>
          <cell r="Q16">
            <v>0.15606994087610856</v>
          </cell>
          <cell r="R16">
            <v>0.10279494759473261</v>
          </cell>
          <cell r="S16">
            <v>40</v>
          </cell>
          <cell r="T16">
            <v>0</v>
          </cell>
          <cell r="U16">
            <v>0</v>
          </cell>
          <cell r="V16">
            <v>0</v>
          </cell>
          <cell r="W16">
            <v>151.67221684732303</v>
          </cell>
        </row>
        <row r="17">
          <cell r="B17">
            <v>162</v>
          </cell>
          <cell r="C17">
            <v>6</v>
          </cell>
          <cell r="D17">
            <v>4500089963</v>
          </cell>
          <cell r="E17" t="str">
            <v>162-TW-2-05</v>
          </cell>
          <cell r="F17">
            <v>2718</v>
          </cell>
          <cell r="G17" t="str">
            <v>Kempo</v>
          </cell>
          <cell r="H17" t="str">
            <v>NTB</v>
          </cell>
          <cell r="I17" t="str">
            <v>71m Light</v>
          </cell>
          <cell r="J17">
            <v>13393.87</v>
          </cell>
          <cell r="K17">
            <v>312.51999999999862</v>
          </cell>
          <cell r="L17">
            <v>13706.39</v>
          </cell>
          <cell r="M17">
            <v>173728493.25</v>
          </cell>
          <cell r="N17">
            <v>2</v>
          </cell>
          <cell r="O17">
            <v>2</v>
          </cell>
          <cell r="P17">
            <v>0.26617844665412527</v>
          </cell>
          <cell r="Q17">
            <v>0.20331026605751143</v>
          </cell>
          <cell r="R17">
            <v>0.10279494759473261</v>
          </cell>
          <cell r="S17">
            <v>36</v>
          </cell>
          <cell r="T17">
            <v>12</v>
          </cell>
          <cell r="U17">
            <v>0</v>
          </cell>
          <cell r="V17">
            <v>0</v>
          </cell>
          <cell r="W17">
            <v>191.73872316282959</v>
          </cell>
        </row>
        <row r="18">
          <cell r="B18">
            <v>163</v>
          </cell>
          <cell r="C18">
            <v>7</v>
          </cell>
          <cell r="D18">
            <v>4500089957</v>
          </cell>
          <cell r="E18" t="str">
            <v>163-TW-2-05</v>
          </cell>
          <cell r="F18" t="str">
            <v>C410</v>
          </cell>
          <cell r="G18" t="str">
            <v>Sosok</v>
          </cell>
          <cell r="H18" t="str">
            <v>Kalbar</v>
          </cell>
          <cell r="I18" t="str">
            <v>71m Light</v>
          </cell>
          <cell r="J18">
            <v>13393.87</v>
          </cell>
          <cell r="K18">
            <v>565.79999999999927</v>
          </cell>
          <cell r="L18">
            <v>13959.67</v>
          </cell>
          <cell r="M18">
            <v>176938817.25</v>
          </cell>
          <cell r="N18">
            <v>1.5</v>
          </cell>
          <cell r="O18">
            <v>2</v>
          </cell>
          <cell r="P18">
            <v>0.19963383499059395</v>
          </cell>
          <cell r="Q18">
            <v>0.15606994087610856</v>
          </cell>
          <cell r="R18">
            <v>0.10279494759473261</v>
          </cell>
          <cell r="S18">
            <v>34</v>
          </cell>
          <cell r="T18">
            <v>6</v>
          </cell>
          <cell r="U18">
            <v>0</v>
          </cell>
          <cell r="V18">
            <v>0</v>
          </cell>
          <cell r="W18">
            <v>152.88522410343697</v>
          </cell>
        </row>
        <row r="19">
          <cell r="B19">
            <v>179</v>
          </cell>
          <cell r="C19">
            <v>8</v>
          </cell>
          <cell r="D19">
            <v>4500090115</v>
          </cell>
          <cell r="E19" t="str">
            <v>179-TW-2-05</v>
          </cell>
          <cell r="F19">
            <v>2411</v>
          </cell>
          <cell r="G19" t="str">
            <v>Karanganyar Kebumen</v>
          </cell>
          <cell r="H19" t="str">
            <v>Jawa Tengah</v>
          </cell>
          <cell r="I19" t="str">
            <v>71m Light</v>
          </cell>
          <cell r="J19">
            <v>13393.87</v>
          </cell>
          <cell r="K19">
            <v>568.52999999999884</v>
          </cell>
          <cell r="L19">
            <v>13962.4</v>
          </cell>
          <cell r="M19">
            <v>176973420</v>
          </cell>
          <cell r="N19">
            <v>3.5</v>
          </cell>
          <cell r="O19">
            <v>6</v>
          </cell>
          <cell r="P19">
            <v>0.45569000268744958</v>
          </cell>
          <cell r="Q19">
            <v>0.37372917226551999</v>
          </cell>
          <cell r="R19">
            <v>0.30838484278419787</v>
          </cell>
          <cell r="S19">
            <v>98</v>
          </cell>
          <cell r="T19">
            <v>3</v>
          </cell>
          <cell r="U19">
            <v>3</v>
          </cell>
          <cell r="V19">
            <v>0</v>
          </cell>
          <cell r="W19">
            <v>379.68901281017651</v>
          </cell>
        </row>
        <row r="20">
          <cell r="B20">
            <v>180</v>
          </cell>
          <cell r="C20">
            <v>9</v>
          </cell>
          <cell r="D20">
            <v>4500090389</v>
          </cell>
          <cell r="E20" t="str">
            <v>180-TW-2-05</v>
          </cell>
          <cell r="F20" t="str">
            <v>C419</v>
          </cell>
          <cell r="G20" t="str">
            <v>Pesaguan</v>
          </cell>
          <cell r="H20" t="str">
            <v>Kalbar</v>
          </cell>
          <cell r="I20" t="str">
            <v>71m Light</v>
          </cell>
          <cell r="J20">
            <v>13393.87</v>
          </cell>
          <cell r="K20">
            <v>660.96999999999935</v>
          </cell>
          <cell r="L20">
            <v>14054.84</v>
          </cell>
          <cell r="M20">
            <v>178145097</v>
          </cell>
          <cell r="N20">
            <v>4.5</v>
          </cell>
          <cell r="O20">
            <v>6</v>
          </cell>
          <cell r="P20">
            <v>0.53235689330825042</v>
          </cell>
          <cell r="Q20">
            <v>0.42096949744692291</v>
          </cell>
          <cell r="R20">
            <v>0.30838484278419787</v>
          </cell>
          <cell r="S20">
            <v>106</v>
          </cell>
          <cell r="T20">
            <v>6</v>
          </cell>
          <cell r="U20">
            <v>0</v>
          </cell>
          <cell r="V20">
            <v>0</v>
          </cell>
          <cell r="W20">
            <v>442.52217325091823</v>
          </cell>
        </row>
        <row r="21">
          <cell r="B21">
            <v>181</v>
          </cell>
          <cell r="C21">
            <v>10</v>
          </cell>
          <cell r="D21">
            <v>4500090392</v>
          </cell>
          <cell r="E21" t="str">
            <v>181-TW-2-05</v>
          </cell>
          <cell r="F21" t="str">
            <v>C418</v>
          </cell>
          <cell r="G21" t="str">
            <v>Tebas</v>
          </cell>
          <cell r="H21" t="str">
            <v>Kalbar</v>
          </cell>
          <cell r="I21" t="str">
            <v>71m Light</v>
          </cell>
          <cell r="J21">
            <v>13393.87</v>
          </cell>
          <cell r="K21">
            <v>217.94999999999891</v>
          </cell>
          <cell r="L21">
            <v>13611.82</v>
          </cell>
          <cell r="M21">
            <v>172529818.5</v>
          </cell>
          <cell r="N21">
            <v>1.5</v>
          </cell>
          <cell r="O21">
            <v>2</v>
          </cell>
          <cell r="P21">
            <v>0.19963383499059395</v>
          </cell>
          <cell r="Q21">
            <v>0.15606994087610856</v>
          </cell>
          <cell r="R21">
            <v>0.10279494759473261</v>
          </cell>
          <cell r="S21">
            <v>34</v>
          </cell>
          <cell r="T21">
            <v>3</v>
          </cell>
          <cell r="U21">
            <v>3</v>
          </cell>
          <cell r="V21">
            <v>0</v>
          </cell>
          <cell r="W21">
            <v>152.88522410343697</v>
          </cell>
        </row>
        <row r="22">
          <cell r="B22">
            <v>182</v>
          </cell>
          <cell r="C22">
            <v>11</v>
          </cell>
          <cell r="D22">
            <v>4500090138</v>
          </cell>
          <cell r="E22" t="str">
            <v>182-TW-2-05</v>
          </cell>
          <cell r="F22">
            <v>2425</v>
          </cell>
          <cell r="G22" t="str">
            <v>Boja</v>
          </cell>
          <cell r="H22" t="str">
            <v>Jawa Tengah</v>
          </cell>
          <cell r="I22" t="str">
            <v>71m Light</v>
          </cell>
          <cell r="J22">
            <v>13393.87</v>
          </cell>
          <cell r="K22">
            <v>568.52999999999884</v>
          </cell>
          <cell r="L22">
            <v>13962.4</v>
          </cell>
          <cell r="M22">
            <v>176973420</v>
          </cell>
          <cell r="N22">
            <v>3.5</v>
          </cell>
          <cell r="O22">
            <v>6</v>
          </cell>
          <cell r="P22">
            <v>0.45569000268744958</v>
          </cell>
          <cell r="Q22">
            <v>0.37372917226551999</v>
          </cell>
          <cell r="R22">
            <v>0.30838484278419787</v>
          </cell>
          <cell r="S22">
            <v>98</v>
          </cell>
          <cell r="T22">
            <v>3</v>
          </cell>
          <cell r="U22">
            <v>3</v>
          </cell>
          <cell r="V22">
            <v>0</v>
          </cell>
          <cell r="W22">
            <v>379.68901281017651</v>
          </cell>
        </row>
        <row r="23">
          <cell r="B23">
            <v>183</v>
          </cell>
          <cell r="C23">
            <v>12</v>
          </cell>
          <cell r="D23">
            <v>4500090195</v>
          </cell>
          <cell r="E23" t="str">
            <v>183-TW-2-05</v>
          </cell>
          <cell r="F23">
            <v>2479</v>
          </cell>
          <cell r="G23" t="str">
            <v>Guci</v>
          </cell>
          <cell r="H23" t="str">
            <v>Jawa Tengah</v>
          </cell>
          <cell r="I23" t="str">
            <v>51m Light</v>
          </cell>
          <cell r="J23">
            <v>7175.65</v>
          </cell>
          <cell r="K23">
            <v>578.01</v>
          </cell>
          <cell r="L23">
            <v>7753.66</v>
          </cell>
          <cell r="M23">
            <v>98277640.5</v>
          </cell>
          <cell r="N23">
            <v>3.5</v>
          </cell>
          <cell r="O23">
            <v>6</v>
          </cell>
          <cell r="P23">
            <v>0.48839995968825584</v>
          </cell>
          <cell r="Q23">
            <v>0.39734933485622148</v>
          </cell>
          <cell r="R23">
            <v>0.30838484278419787</v>
          </cell>
          <cell r="S23">
            <v>108</v>
          </cell>
          <cell r="T23">
            <v>0</v>
          </cell>
          <cell r="U23">
            <v>0</v>
          </cell>
          <cell r="V23">
            <v>0</v>
          </cell>
          <cell r="W23">
            <v>387.68578115202007</v>
          </cell>
        </row>
        <row r="24">
          <cell r="B24">
            <v>184</v>
          </cell>
          <cell r="C24">
            <v>13</v>
          </cell>
          <cell r="D24">
            <v>4500090186</v>
          </cell>
          <cell r="E24" t="str">
            <v>184-TW-2-05</v>
          </cell>
          <cell r="F24" t="str">
            <v>A605</v>
          </cell>
          <cell r="G24" t="str">
            <v>Karangjati Madiun</v>
          </cell>
          <cell r="H24" t="str">
            <v>Jawa Timur</v>
          </cell>
          <cell r="I24" t="str">
            <v>51m Light</v>
          </cell>
          <cell r="J24">
            <v>7175.65</v>
          </cell>
          <cell r="K24">
            <v>1062.8</v>
          </cell>
          <cell r="L24">
            <v>8238.4500000000007</v>
          </cell>
          <cell r="M24">
            <v>104422353.75000001</v>
          </cell>
          <cell r="N24">
            <v>2.5</v>
          </cell>
          <cell r="O24">
            <v>4</v>
          </cell>
          <cell r="P24">
            <v>0.31322829884439668</v>
          </cell>
          <cell r="Q24">
            <v>0.26489955657081432</v>
          </cell>
          <cell r="R24">
            <v>0.20558989518946522</v>
          </cell>
          <cell r="S24">
            <v>72</v>
          </cell>
          <cell r="T24">
            <v>0</v>
          </cell>
          <cell r="U24">
            <v>0</v>
          </cell>
          <cell r="V24">
            <v>0</v>
          </cell>
          <cell r="W24">
            <v>264.49093463525338</v>
          </cell>
        </row>
        <row r="25">
          <cell r="B25">
            <v>185</v>
          </cell>
          <cell r="C25">
            <v>14</v>
          </cell>
          <cell r="D25">
            <v>4500090178</v>
          </cell>
          <cell r="E25" t="str">
            <v>185-TW-2-05</v>
          </cell>
          <cell r="F25" t="str">
            <v>A621</v>
          </cell>
          <cell r="G25" t="str">
            <v>Warujayeng</v>
          </cell>
          <cell r="H25" t="str">
            <v>Jawa Timur</v>
          </cell>
          <cell r="I25" t="str">
            <v>51m Light</v>
          </cell>
          <cell r="J25">
            <v>7175.65</v>
          </cell>
          <cell r="K25">
            <v>769.96</v>
          </cell>
          <cell r="L25">
            <v>7945.61</v>
          </cell>
          <cell r="M25">
            <v>100710606.75</v>
          </cell>
          <cell r="N25">
            <v>3.5</v>
          </cell>
          <cell r="O25">
            <v>6</v>
          </cell>
          <cell r="P25">
            <v>0.43488309594195118</v>
          </cell>
          <cell r="Q25">
            <v>0.37372917226551999</v>
          </cell>
          <cell r="R25">
            <v>0.30838484278419787</v>
          </cell>
          <cell r="S25">
            <v>104</v>
          </cell>
          <cell r="T25">
            <v>0</v>
          </cell>
          <cell r="U25">
            <v>0</v>
          </cell>
          <cell r="V25">
            <v>0</v>
          </cell>
          <cell r="W25">
            <v>377.09970885962559</v>
          </cell>
        </row>
        <row r="26">
          <cell r="B26">
            <v>186</v>
          </cell>
          <cell r="C26">
            <v>15</v>
          </cell>
          <cell r="D26">
            <v>4500090172</v>
          </cell>
          <cell r="E26" t="str">
            <v>186-TW-2-05</v>
          </cell>
          <cell r="F26" t="str">
            <v>A622</v>
          </cell>
          <cell r="G26" t="str">
            <v>Pace</v>
          </cell>
          <cell r="H26" t="str">
            <v>Jawa Timur</v>
          </cell>
          <cell r="I26" t="str">
            <v>51m Light</v>
          </cell>
          <cell r="J26">
            <v>7175.65</v>
          </cell>
          <cell r="K26">
            <v>769.96</v>
          </cell>
          <cell r="L26">
            <v>7945.61</v>
          </cell>
          <cell r="M26">
            <v>100710606.75</v>
          </cell>
          <cell r="N26">
            <v>3.5</v>
          </cell>
          <cell r="O26">
            <v>6</v>
          </cell>
          <cell r="P26">
            <v>0.43488309594195118</v>
          </cell>
          <cell r="Q26">
            <v>0.37372917226551999</v>
          </cell>
          <cell r="R26">
            <v>0.30838484278419787</v>
          </cell>
          <cell r="S26">
            <v>104</v>
          </cell>
          <cell r="T26">
            <v>0</v>
          </cell>
          <cell r="U26">
            <v>0</v>
          </cell>
          <cell r="V26">
            <v>0</v>
          </cell>
          <cell r="W26">
            <v>377.09970885962559</v>
          </cell>
        </row>
        <row r="27">
          <cell r="B27">
            <v>187</v>
          </cell>
          <cell r="C27">
            <v>16</v>
          </cell>
          <cell r="D27">
            <v>4500090148</v>
          </cell>
          <cell r="E27" t="str">
            <v>187-TW-2-05</v>
          </cell>
          <cell r="F27">
            <v>2435</v>
          </cell>
          <cell r="G27" t="str">
            <v>Karanggede</v>
          </cell>
          <cell r="H27" t="str">
            <v>Jawa Tengah</v>
          </cell>
          <cell r="I27" t="str">
            <v>71m Light</v>
          </cell>
          <cell r="J27">
            <v>13393.87</v>
          </cell>
          <cell r="K27">
            <v>610.71999999999935</v>
          </cell>
          <cell r="L27">
            <v>14004.59</v>
          </cell>
          <cell r="M27">
            <v>177508178.25</v>
          </cell>
          <cell r="N27">
            <v>4</v>
          </cell>
          <cell r="O27">
            <v>6</v>
          </cell>
          <cell r="P27">
            <v>0.52054756785810274</v>
          </cell>
          <cell r="Q27">
            <v>0.42096949744692291</v>
          </cell>
          <cell r="R27">
            <v>0.30838484278419787</v>
          </cell>
          <cell r="S27">
            <v>106</v>
          </cell>
          <cell r="T27">
            <v>3</v>
          </cell>
          <cell r="U27">
            <v>3</v>
          </cell>
          <cell r="V27">
            <v>0</v>
          </cell>
          <cell r="W27">
            <v>418.33256830601101</v>
          </cell>
        </row>
        <row r="28">
          <cell r="B28">
            <v>188</v>
          </cell>
          <cell r="C28">
            <v>17</v>
          </cell>
          <cell r="D28">
            <v>4500090202</v>
          </cell>
          <cell r="E28" t="str">
            <v>188-TW-2-05</v>
          </cell>
          <cell r="F28">
            <v>2473</v>
          </cell>
          <cell r="G28" t="str">
            <v>Karang Pandan</v>
          </cell>
          <cell r="H28" t="str">
            <v>Jawa Tengah</v>
          </cell>
          <cell r="I28" t="str">
            <v>71m Light</v>
          </cell>
          <cell r="J28">
            <v>13393.87</v>
          </cell>
          <cell r="K28">
            <v>394.04999999999927</v>
          </cell>
          <cell r="L28">
            <v>13787.92</v>
          </cell>
          <cell r="M28">
            <v>174761886</v>
          </cell>
          <cell r="N28">
            <v>2.5</v>
          </cell>
          <cell r="O28">
            <v>4</v>
          </cell>
          <cell r="P28">
            <v>0.32934896533190006</v>
          </cell>
          <cell r="Q28">
            <v>0.26489955657081432</v>
          </cell>
          <cell r="R28">
            <v>0.20558989518946522</v>
          </cell>
          <cell r="S28">
            <v>66</v>
          </cell>
          <cell r="T28">
            <v>3</v>
          </cell>
          <cell r="U28">
            <v>3</v>
          </cell>
          <cell r="V28">
            <v>0</v>
          </cell>
          <cell r="W28">
            <v>266.49706202036492</v>
          </cell>
        </row>
        <row r="29">
          <cell r="B29">
            <v>189</v>
          </cell>
          <cell r="C29">
            <v>18</v>
          </cell>
          <cell r="D29">
            <v>4500090541</v>
          </cell>
          <cell r="E29" t="str">
            <v>189-TW-2-05</v>
          </cell>
          <cell r="F29">
            <v>4963</v>
          </cell>
          <cell r="G29" t="str">
            <v>Mekarwangi Bekasi</v>
          </cell>
          <cell r="H29" t="str">
            <v>Jawa Barat</v>
          </cell>
          <cell r="I29" t="str">
            <v>51m Light</v>
          </cell>
          <cell r="J29">
            <v>7175.65</v>
          </cell>
          <cell r="K29">
            <v>503.17</v>
          </cell>
          <cell r="L29">
            <v>7678.82</v>
          </cell>
          <cell r="M29">
            <v>97329043.5</v>
          </cell>
          <cell r="N29">
            <v>2</v>
          </cell>
          <cell r="O29">
            <v>6</v>
          </cell>
          <cell r="P29">
            <v>0.43488309594195118</v>
          </cell>
          <cell r="Q29">
            <v>0.37372917226551999</v>
          </cell>
          <cell r="R29">
            <v>0.30838484278419787</v>
          </cell>
          <cell r="S29">
            <v>104</v>
          </cell>
          <cell r="T29">
            <v>0</v>
          </cell>
          <cell r="U29">
            <v>0</v>
          </cell>
          <cell r="V29">
            <v>0</v>
          </cell>
          <cell r="W29">
            <v>308.93970885962557</v>
          </cell>
        </row>
        <row r="30">
          <cell r="B30">
            <v>190</v>
          </cell>
          <cell r="C30">
            <v>19</v>
          </cell>
          <cell r="D30">
            <v>4500090555</v>
          </cell>
          <cell r="E30" t="str">
            <v>190-TW-2-05</v>
          </cell>
          <cell r="F30">
            <v>4969</v>
          </cell>
          <cell r="G30" t="str">
            <v>Cikarang Cibarusah</v>
          </cell>
          <cell r="H30" t="str">
            <v>Jawa Barat</v>
          </cell>
          <cell r="I30" t="str">
            <v>51m Light</v>
          </cell>
          <cell r="J30">
            <v>7175.65</v>
          </cell>
          <cell r="K30">
            <v>509.17</v>
          </cell>
          <cell r="L30">
            <v>7684.82</v>
          </cell>
          <cell r="M30">
            <v>97405093.5</v>
          </cell>
          <cell r="N30">
            <v>2</v>
          </cell>
          <cell r="O30">
            <v>6</v>
          </cell>
          <cell r="P30">
            <v>0.43488309594195118</v>
          </cell>
          <cell r="Q30">
            <v>0.37372917226551999</v>
          </cell>
          <cell r="R30">
            <v>0.30838484278419787</v>
          </cell>
          <cell r="S30">
            <v>104</v>
          </cell>
          <cell r="T30">
            <v>0</v>
          </cell>
          <cell r="U30">
            <v>0</v>
          </cell>
          <cell r="V30">
            <v>0</v>
          </cell>
          <cell r="W30">
            <v>308.93970885962557</v>
          </cell>
        </row>
        <row r="31">
          <cell r="B31">
            <v>191</v>
          </cell>
          <cell r="C31">
            <v>20</v>
          </cell>
          <cell r="D31">
            <v>4500090210</v>
          </cell>
          <cell r="E31" t="str">
            <v>191-TW-2-05</v>
          </cell>
          <cell r="F31">
            <v>2471</v>
          </cell>
          <cell r="G31" t="str">
            <v>Pracimantoro</v>
          </cell>
          <cell r="H31" t="str">
            <v>Jawa Tengah</v>
          </cell>
          <cell r="I31" t="str">
            <v>71m Light</v>
          </cell>
          <cell r="J31">
            <v>13393.87</v>
          </cell>
          <cell r="K31">
            <v>568.52999999999884</v>
          </cell>
          <cell r="L31">
            <v>13962.4</v>
          </cell>
          <cell r="M31">
            <v>176973420</v>
          </cell>
          <cell r="N31">
            <v>3.5</v>
          </cell>
          <cell r="O31">
            <v>6</v>
          </cell>
          <cell r="P31">
            <v>0.45569000268744958</v>
          </cell>
          <cell r="Q31">
            <v>0.37372917226551999</v>
          </cell>
          <cell r="R31">
            <v>0.30838484278419787</v>
          </cell>
          <cell r="S31">
            <v>98</v>
          </cell>
          <cell r="T31">
            <v>3</v>
          </cell>
          <cell r="U31">
            <v>3</v>
          </cell>
          <cell r="V31">
            <v>0</v>
          </cell>
          <cell r="W31">
            <v>379.68901281017651</v>
          </cell>
        </row>
        <row r="32">
          <cell r="B32">
            <v>192</v>
          </cell>
          <cell r="C32">
            <v>21</v>
          </cell>
          <cell r="D32">
            <v>4500090216</v>
          </cell>
          <cell r="E32" t="str">
            <v>192-TW-2-05</v>
          </cell>
          <cell r="F32">
            <v>2470</v>
          </cell>
          <cell r="G32" t="str">
            <v>Nglipar</v>
          </cell>
          <cell r="H32" t="str">
            <v>Jawa Tengah</v>
          </cell>
          <cell r="I32" t="str">
            <v>71m Light</v>
          </cell>
          <cell r="J32">
            <v>13393.87</v>
          </cell>
          <cell r="K32">
            <v>568.52999999999884</v>
          </cell>
          <cell r="L32">
            <v>13962.4</v>
          </cell>
          <cell r="M32">
            <v>176973420</v>
          </cell>
          <cell r="N32">
            <v>3.5</v>
          </cell>
          <cell r="O32">
            <v>6</v>
          </cell>
          <cell r="P32">
            <v>0.45569000268744958</v>
          </cell>
          <cell r="Q32">
            <v>0.37372917226551999</v>
          </cell>
          <cell r="R32">
            <v>0.30838484278419787</v>
          </cell>
          <cell r="S32">
            <v>98</v>
          </cell>
          <cell r="T32">
            <v>3</v>
          </cell>
          <cell r="U32">
            <v>3</v>
          </cell>
          <cell r="V32">
            <v>0</v>
          </cell>
          <cell r="W32">
            <v>379.68901281017651</v>
          </cell>
        </row>
        <row r="33">
          <cell r="B33">
            <v>193</v>
          </cell>
          <cell r="C33">
            <v>22</v>
          </cell>
          <cell r="D33">
            <v>4500090226</v>
          </cell>
          <cell r="E33" t="str">
            <v>193-TW-2-05</v>
          </cell>
          <cell r="F33">
            <v>2462</v>
          </cell>
          <cell r="G33" t="str">
            <v>Loano</v>
          </cell>
          <cell r="H33" t="str">
            <v>Jawa Tengah</v>
          </cell>
          <cell r="I33" t="str">
            <v>71m Light</v>
          </cell>
          <cell r="J33">
            <v>13393.87</v>
          </cell>
          <cell r="K33">
            <v>567.09999999999854</v>
          </cell>
          <cell r="L33">
            <v>13960.97</v>
          </cell>
          <cell r="M33">
            <v>176955294.75</v>
          </cell>
          <cell r="N33">
            <v>3.5</v>
          </cell>
          <cell r="O33">
            <v>6</v>
          </cell>
          <cell r="P33">
            <v>0.45569000268744975</v>
          </cell>
          <cell r="Q33">
            <v>0.37372917226551999</v>
          </cell>
          <cell r="R33">
            <v>0.30838484278419787</v>
          </cell>
          <cell r="S33">
            <v>104</v>
          </cell>
          <cell r="T33">
            <v>0</v>
          </cell>
          <cell r="U33">
            <v>0</v>
          </cell>
          <cell r="V33">
            <v>0</v>
          </cell>
          <cell r="W33">
            <v>379.68901281017651</v>
          </cell>
        </row>
        <row r="34">
          <cell r="B34">
            <v>194</v>
          </cell>
          <cell r="C34">
            <v>23</v>
          </cell>
          <cell r="D34">
            <v>4500090231</v>
          </cell>
          <cell r="E34" t="str">
            <v>194-TW-2-05</v>
          </cell>
          <cell r="F34">
            <v>2459</v>
          </cell>
          <cell r="G34" t="str">
            <v>Suruh</v>
          </cell>
          <cell r="H34" t="str">
            <v>Jawa Tengah</v>
          </cell>
          <cell r="I34" t="str">
            <v>71m Light</v>
          </cell>
          <cell r="J34">
            <v>13393.87</v>
          </cell>
          <cell r="K34">
            <v>567.09999999999854</v>
          </cell>
          <cell r="L34">
            <v>13960.97</v>
          </cell>
          <cell r="M34">
            <v>176955294.75</v>
          </cell>
          <cell r="N34">
            <v>3.5</v>
          </cell>
          <cell r="O34">
            <v>6</v>
          </cell>
          <cell r="P34">
            <v>0.45569000268744975</v>
          </cell>
          <cell r="Q34">
            <v>0.37372917226551999</v>
          </cell>
          <cell r="R34">
            <v>0.30838484278419787</v>
          </cell>
          <cell r="S34">
            <v>104</v>
          </cell>
          <cell r="T34">
            <v>0</v>
          </cell>
          <cell r="U34">
            <v>0</v>
          </cell>
          <cell r="V34">
            <v>0</v>
          </cell>
          <cell r="W34">
            <v>379.68901281017651</v>
          </cell>
        </row>
        <row r="35">
          <cell r="B35">
            <v>195</v>
          </cell>
          <cell r="C35">
            <v>24</v>
          </cell>
          <cell r="D35">
            <v>4500090236</v>
          </cell>
          <cell r="E35" t="str">
            <v>195-TW-2-05</v>
          </cell>
          <cell r="F35">
            <v>2445</v>
          </cell>
          <cell r="G35" t="str">
            <v>Purwantoro</v>
          </cell>
          <cell r="H35" t="str">
            <v>Jawa Tengah</v>
          </cell>
          <cell r="I35" t="str">
            <v>71m Light</v>
          </cell>
          <cell r="J35">
            <v>13393.87</v>
          </cell>
          <cell r="K35">
            <v>610.71999999999935</v>
          </cell>
          <cell r="L35">
            <v>14004.59</v>
          </cell>
          <cell r="M35">
            <v>177508178.25</v>
          </cell>
          <cell r="N35">
            <v>4</v>
          </cell>
          <cell r="O35">
            <v>6</v>
          </cell>
          <cell r="P35">
            <v>0.52054756785810274</v>
          </cell>
          <cell r="Q35">
            <v>0.42096949744692291</v>
          </cell>
          <cell r="R35">
            <v>0.30838484278419787</v>
          </cell>
          <cell r="S35">
            <v>106</v>
          </cell>
          <cell r="T35">
            <v>3</v>
          </cell>
          <cell r="U35">
            <v>3</v>
          </cell>
          <cell r="V35">
            <v>0</v>
          </cell>
          <cell r="W35">
            <v>418.33256830601101</v>
          </cell>
        </row>
        <row r="36">
          <cell r="B36">
            <v>196</v>
          </cell>
          <cell r="C36">
            <v>25</v>
          </cell>
          <cell r="D36">
            <v>4500090241</v>
          </cell>
          <cell r="E36" t="str">
            <v>196-TW-2-05</v>
          </cell>
          <cell r="F36">
            <v>2442</v>
          </cell>
          <cell r="G36" t="str">
            <v>Nguter</v>
          </cell>
          <cell r="H36" t="str">
            <v>Jawa Tengah</v>
          </cell>
          <cell r="I36" t="str">
            <v>51m Light</v>
          </cell>
          <cell r="J36">
            <v>7175.65</v>
          </cell>
          <cell r="K36">
            <v>392.46</v>
          </cell>
          <cell r="L36">
            <v>7568.11</v>
          </cell>
          <cell r="M36">
            <v>95925794.25</v>
          </cell>
          <cell r="N36">
            <v>2.5</v>
          </cell>
          <cell r="O36">
            <v>4</v>
          </cell>
          <cell r="P36">
            <v>0.31960158559527008</v>
          </cell>
          <cell r="Q36">
            <v>0.26489955657081432</v>
          </cell>
          <cell r="R36">
            <v>0.20558989518946522</v>
          </cell>
          <cell r="S36">
            <v>66</v>
          </cell>
          <cell r="T36">
            <v>6</v>
          </cell>
          <cell r="U36">
            <v>0</v>
          </cell>
          <cell r="V36">
            <v>0</v>
          </cell>
          <cell r="W36">
            <v>265.28405476425098</v>
          </cell>
        </row>
        <row r="37">
          <cell r="B37">
            <v>197</v>
          </cell>
          <cell r="C37">
            <v>26</v>
          </cell>
          <cell r="D37">
            <v>4500090246</v>
          </cell>
          <cell r="E37" t="str">
            <v>197-TW-2-05</v>
          </cell>
          <cell r="F37">
            <v>3972</v>
          </cell>
          <cell r="G37" t="str">
            <v>Bengkuring</v>
          </cell>
          <cell r="H37" t="str">
            <v>Kaltim</v>
          </cell>
          <cell r="I37" t="str">
            <v>71m Light</v>
          </cell>
          <cell r="J37">
            <v>13393.87</v>
          </cell>
          <cell r="K37">
            <v>566.18999999999869</v>
          </cell>
          <cell r="L37">
            <v>13960.06</v>
          </cell>
          <cell r="M37">
            <v>176943760.5</v>
          </cell>
          <cell r="N37">
            <v>3.5</v>
          </cell>
          <cell r="O37">
            <v>6</v>
          </cell>
          <cell r="P37">
            <v>0.52748320343993549</v>
          </cell>
          <cell r="Q37">
            <v>0.43298743617307178</v>
          </cell>
          <cell r="R37">
            <v>0.30838484278419787</v>
          </cell>
          <cell r="S37">
            <v>94</v>
          </cell>
          <cell r="T37">
            <v>6</v>
          </cell>
          <cell r="U37">
            <v>6</v>
          </cell>
          <cell r="V37">
            <v>6</v>
          </cell>
          <cell r="W37">
            <v>398.47331810445223</v>
          </cell>
        </row>
        <row r="38">
          <cell r="B38">
            <v>199</v>
          </cell>
          <cell r="C38">
            <v>27</v>
          </cell>
          <cell r="D38">
            <v>4500090386</v>
          </cell>
          <cell r="E38" t="str">
            <v>199-TW-2-05</v>
          </cell>
          <cell r="F38">
            <v>3544</v>
          </cell>
          <cell r="G38" t="str">
            <v>Cempaka</v>
          </cell>
          <cell r="H38" t="str">
            <v>Kaltim</v>
          </cell>
          <cell r="I38" t="str">
            <v>71m Light</v>
          </cell>
          <cell r="J38">
            <v>13393.87</v>
          </cell>
          <cell r="K38">
            <v>830.67</v>
          </cell>
          <cell r="L38">
            <v>14224.54</v>
          </cell>
          <cell r="M38">
            <v>180296044.5</v>
          </cell>
          <cell r="N38">
            <v>3.5</v>
          </cell>
          <cell r="O38">
            <v>6</v>
          </cell>
          <cell r="P38">
            <v>0.53235689330825053</v>
          </cell>
          <cell r="Q38">
            <v>0.42096949744692291</v>
          </cell>
          <cell r="R38">
            <v>0.30838484278419787</v>
          </cell>
          <cell r="S38">
            <v>112</v>
          </cell>
          <cell r="T38">
            <v>0</v>
          </cell>
          <cell r="U38">
            <v>0</v>
          </cell>
          <cell r="V38">
            <v>0</v>
          </cell>
          <cell r="W38">
            <v>397.08217325091823</v>
          </cell>
        </row>
        <row r="39">
          <cell r="B39">
            <v>200</v>
          </cell>
          <cell r="C39">
            <v>28</v>
          </cell>
          <cell r="D39">
            <v>4500090382</v>
          </cell>
          <cell r="E39" t="str">
            <v>200-TW-2-05</v>
          </cell>
          <cell r="F39">
            <v>3954</v>
          </cell>
          <cell r="G39" t="str">
            <v>Sangata lama</v>
          </cell>
          <cell r="H39" t="str">
            <v>Kaltim</v>
          </cell>
          <cell r="I39" t="str">
            <v>71m Light</v>
          </cell>
          <cell r="J39">
            <v>13393.87</v>
          </cell>
          <cell r="K39">
            <v>586.65</v>
          </cell>
          <cell r="L39">
            <v>13980.52</v>
          </cell>
          <cell r="M39">
            <v>177203091</v>
          </cell>
          <cell r="N39">
            <v>4</v>
          </cell>
          <cell r="O39">
            <v>6</v>
          </cell>
          <cell r="P39">
            <v>0.46581228164471922</v>
          </cell>
          <cell r="Q39">
            <v>0.38574711099166897</v>
          </cell>
          <cell r="R39">
            <v>0.30838484278419787</v>
          </cell>
          <cell r="S39">
            <v>98</v>
          </cell>
          <cell r="T39">
            <v>0</v>
          </cell>
          <cell r="U39">
            <v>0</v>
          </cell>
          <cell r="V39">
            <v>6</v>
          </cell>
          <cell r="W39">
            <v>405.66632267311655</v>
          </cell>
        </row>
        <row r="40">
          <cell r="B40">
            <v>201</v>
          </cell>
          <cell r="C40">
            <v>29</v>
          </cell>
          <cell r="D40">
            <v>4500090379</v>
          </cell>
          <cell r="E40" t="str">
            <v>201-TW-2-05</v>
          </cell>
          <cell r="F40">
            <v>3955</v>
          </cell>
          <cell r="G40" t="str">
            <v>Rawa Indah</v>
          </cell>
          <cell r="H40" t="str">
            <v>Kaltim</v>
          </cell>
          <cell r="I40" t="str">
            <v>61m Light</v>
          </cell>
          <cell r="J40">
            <v>10597.6</v>
          </cell>
          <cell r="K40">
            <v>309.10000000000002</v>
          </cell>
          <cell r="L40">
            <v>10906.7</v>
          </cell>
          <cell r="M40">
            <v>138242422.5</v>
          </cell>
          <cell r="N40">
            <v>3.5</v>
          </cell>
          <cell r="O40">
            <v>6</v>
          </cell>
          <cell r="P40">
            <v>0.53235689330825042</v>
          </cell>
          <cell r="Q40">
            <v>0.43298743617307178</v>
          </cell>
          <cell r="R40">
            <v>0.30838484278419787</v>
          </cell>
          <cell r="S40">
            <v>100</v>
          </cell>
          <cell r="T40">
            <v>3</v>
          </cell>
          <cell r="U40">
            <v>3</v>
          </cell>
          <cell r="V40">
            <v>6</v>
          </cell>
          <cell r="W40">
            <v>399.07982173250917</v>
          </cell>
        </row>
        <row r="41">
          <cell r="B41">
            <v>202</v>
          </cell>
          <cell r="C41">
            <v>30</v>
          </cell>
          <cell r="D41">
            <v>4500090363</v>
          </cell>
          <cell r="E41" t="str">
            <v>202-TW-2-05</v>
          </cell>
          <cell r="F41">
            <v>2823</v>
          </cell>
          <cell r="G41" t="str">
            <v>Tegalalang</v>
          </cell>
          <cell r="H41" t="str">
            <v>Bali</v>
          </cell>
          <cell r="I41" t="str">
            <v>71m Light</v>
          </cell>
          <cell r="J41">
            <v>13393.87</v>
          </cell>
          <cell r="K41">
            <v>654.1299999999992</v>
          </cell>
          <cell r="L41">
            <v>14048</v>
          </cell>
          <cell r="M41">
            <v>178058400</v>
          </cell>
          <cell r="N41">
            <v>3.5</v>
          </cell>
          <cell r="O41">
            <v>6</v>
          </cell>
          <cell r="P41">
            <v>0.43657014243482933</v>
          </cell>
          <cell r="Q41">
            <v>0.37372917226551999</v>
          </cell>
          <cell r="R41">
            <v>0.30838484278419787</v>
          </cell>
          <cell r="S41">
            <v>98</v>
          </cell>
          <cell r="T41">
            <v>6</v>
          </cell>
          <cell r="U41">
            <v>0</v>
          </cell>
          <cell r="V41">
            <v>0</v>
          </cell>
          <cell r="W41">
            <v>377.30965242318376</v>
          </cell>
        </row>
        <row r="42">
          <cell r="B42">
            <v>203</v>
          </cell>
          <cell r="C42">
            <v>31</v>
          </cell>
          <cell r="D42">
            <v>4500090360</v>
          </cell>
          <cell r="E42" t="str">
            <v>203-TW-2-05</v>
          </cell>
          <cell r="F42" t="str">
            <v>C405</v>
          </cell>
          <cell r="G42" t="str">
            <v>Bandara Rahadi Usman</v>
          </cell>
          <cell r="H42" t="str">
            <v>Kalbar</v>
          </cell>
          <cell r="I42" t="str">
            <v>41m Light</v>
          </cell>
          <cell r="J42">
            <v>5369.12</v>
          </cell>
          <cell r="K42">
            <v>564.76</v>
          </cell>
          <cell r="L42">
            <v>5933.88</v>
          </cell>
          <cell r="M42">
            <v>75211929</v>
          </cell>
          <cell r="N42">
            <v>3.5</v>
          </cell>
          <cell r="O42">
            <v>6</v>
          </cell>
          <cell r="P42">
            <v>0.43488309594195118</v>
          </cell>
          <cell r="Q42">
            <v>0.37372917226551999</v>
          </cell>
          <cell r="R42">
            <v>0.30838484278419787</v>
          </cell>
          <cell r="S42">
            <v>104</v>
          </cell>
          <cell r="T42">
            <v>0</v>
          </cell>
          <cell r="U42">
            <v>0</v>
          </cell>
          <cell r="V42">
            <v>0</v>
          </cell>
          <cell r="W42">
            <v>377.09970885962559</v>
          </cell>
        </row>
        <row r="43">
          <cell r="B43">
            <v>204</v>
          </cell>
          <cell r="C43">
            <v>32</v>
          </cell>
          <cell r="D43">
            <v>4500090350</v>
          </cell>
          <cell r="E43" t="str">
            <v>204-TW-2-05</v>
          </cell>
          <cell r="F43">
            <v>2721</v>
          </cell>
          <cell r="G43" t="str">
            <v>Raba</v>
          </cell>
          <cell r="H43" t="str">
            <v>NTB</v>
          </cell>
          <cell r="I43" t="str">
            <v>51m Light</v>
          </cell>
          <cell r="J43">
            <v>7175.65</v>
          </cell>
          <cell r="K43">
            <v>654.16000000000076</v>
          </cell>
          <cell r="L43">
            <v>7829.81</v>
          </cell>
          <cell r="M43">
            <v>99242841.75</v>
          </cell>
          <cell r="N43">
            <v>3.5</v>
          </cell>
          <cell r="O43">
            <v>6</v>
          </cell>
          <cell r="P43">
            <v>0.44631752217145931</v>
          </cell>
          <cell r="Q43">
            <v>0.37372917226551999</v>
          </cell>
          <cell r="R43">
            <v>0.30838484278419787</v>
          </cell>
          <cell r="S43">
            <v>104</v>
          </cell>
          <cell r="T43">
            <v>0</v>
          </cell>
          <cell r="U43">
            <v>0</v>
          </cell>
          <cell r="V43">
            <v>0</v>
          </cell>
          <cell r="W43">
            <v>378.5226596792977</v>
          </cell>
        </row>
        <row r="44">
          <cell r="B44">
            <v>205</v>
          </cell>
          <cell r="C44">
            <v>33</v>
          </cell>
          <cell r="D44">
            <v>4500090355</v>
          </cell>
          <cell r="E44" t="str">
            <v>205-TW-2-05</v>
          </cell>
          <cell r="F44">
            <v>2723</v>
          </cell>
          <cell r="G44" t="str">
            <v>Maria</v>
          </cell>
          <cell r="H44" t="str">
            <v>NTB</v>
          </cell>
          <cell r="I44" t="str">
            <v>71m Light</v>
          </cell>
          <cell r="J44">
            <v>13393.87</v>
          </cell>
          <cell r="K44">
            <v>460.03999999999905</v>
          </cell>
          <cell r="L44">
            <v>13853.91</v>
          </cell>
          <cell r="M44">
            <v>175598309.25</v>
          </cell>
          <cell r="N44">
            <v>2.5</v>
          </cell>
          <cell r="O44">
            <v>4</v>
          </cell>
          <cell r="P44">
            <v>0.33272305831765658</v>
          </cell>
          <cell r="Q44">
            <v>0.26489955657081432</v>
          </cell>
          <cell r="R44">
            <v>0.20558989518946522</v>
          </cell>
          <cell r="S44">
            <v>48</v>
          </cell>
          <cell r="T44">
            <v>24</v>
          </cell>
          <cell r="U44">
            <v>0</v>
          </cell>
          <cell r="V44">
            <v>0</v>
          </cell>
          <cell r="W44">
            <v>266.91694914748132</v>
          </cell>
        </row>
        <row r="45">
          <cell r="B45">
            <v>206</v>
          </cell>
          <cell r="C45">
            <v>34</v>
          </cell>
          <cell r="D45">
            <v>4500090108</v>
          </cell>
          <cell r="E45" t="str">
            <v>206-TW-2-05</v>
          </cell>
          <cell r="F45">
            <v>2407</v>
          </cell>
          <cell r="G45" t="str">
            <v>Temon</v>
          </cell>
          <cell r="H45" t="str">
            <v>Jawa Tengah</v>
          </cell>
          <cell r="I45" t="str">
            <v>71m Light</v>
          </cell>
          <cell r="J45">
            <v>13393.87</v>
          </cell>
          <cell r="K45">
            <v>568.52999999999884</v>
          </cell>
          <cell r="L45">
            <v>13962.4</v>
          </cell>
          <cell r="M45">
            <v>176973420</v>
          </cell>
          <cell r="N45">
            <v>3.5</v>
          </cell>
          <cell r="O45">
            <v>5</v>
          </cell>
          <cell r="P45">
            <v>0.45569000268744958</v>
          </cell>
          <cell r="Q45">
            <v>0.36655468959956999</v>
          </cell>
          <cell r="R45">
            <v>0.2569873689868315</v>
          </cell>
          <cell r="S45">
            <v>90</v>
          </cell>
          <cell r="T45">
            <v>3</v>
          </cell>
          <cell r="U45">
            <v>3</v>
          </cell>
          <cell r="V45">
            <v>0</v>
          </cell>
          <cell r="W45">
            <v>361.52664934754694</v>
          </cell>
        </row>
        <row r="46">
          <cell r="B46">
            <v>207</v>
          </cell>
          <cell r="C46">
            <v>35</v>
          </cell>
          <cell r="D46">
            <v>4500094111</v>
          </cell>
          <cell r="E46" t="str">
            <v>207-TW-2-05</v>
          </cell>
          <cell r="F46">
            <v>2200</v>
          </cell>
          <cell r="G46" t="str">
            <v>Wanareja</v>
          </cell>
          <cell r="H46" t="str">
            <v>Jawa Tengah</v>
          </cell>
          <cell r="I46" t="str">
            <v>71m Light</v>
          </cell>
          <cell r="J46">
            <v>13393.87</v>
          </cell>
          <cell r="K46">
            <v>568.57000000000005</v>
          </cell>
          <cell r="L46">
            <v>13962.44</v>
          </cell>
          <cell r="M46">
            <v>176973927</v>
          </cell>
          <cell r="N46">
            <v>3.5</v>
          </cell>
          <cell r="O46">
            <v>6</v>
          </cell>
          <cell r="P46">
            <v>0.45569000268744958</v>
          </cell>
          <cell r="Q46">
            <v>0.37372917226551999</v>
          </cell>
          <cell r="R46">
            <v>0.30838484278419787</v>
          </cell>
          <cell r="S46">
            <v>98</v>
          </cell>
          <cell r="T46">
            <v>3</v>
          </cell>
          <cell r="U46">
            <v>3</v>
          </cell>
          <cell r="V46">
            <v>0</v>
          </cell>
          <cell r="W46">
            <v>379.68901281017651</v>
          </cell>
        </row>
        <row r="47">
          <cell r="B47">
            <v>208</v>
          </cell>
          <cell r="C47">
            <v>36</v>
          </cell>
          <cell r="D47">
            <v>4500090093</v>
          </cell>
          <cell r="E47" t="str">
            <v>208-TW-2-05</v>
          </cell>
          <cell r="F47">
            <v>4964</v>
          </cell>
          <cell r="G47" t="str">
            <v>Mustikajaya Bekasi</v>
          </cell>
          <cell r="H47" t="str">
            <v>Jawa Barat</v>
          </cell>
          <cell r="I47" t="str">
            <v>51m Light</v>
          </cell>
          <cell r="J47">
            <v>7175.65</v>
          </cell>
          <cell r="K47">
            <v>523.55999999999995</v>
          </cell>
          <cell r="L47">
            <v>7699.21</v>
          </cell>
          <cell r="M47">
            <v>97587486.75</v>
          </cell>
          <cell r="N47">
            <v>3</v>
          </cell>
          <cell r="O47">
            <v>6</v>
          </cell>
          <cell r="P47">
            <v>0.44463047567858105</v>
          </cell>
          <cell r="Q47">
            <v>0.37372917226551999</v>
          </cell>
          <cell r="R47">
            <v>0.30838484278419787</v>
          </cell>
          <cell r="S47">
            <v>104</v>
          </cell>
          <cell r="T47">
            <v>0</v>
          </cell>
          <cell r="U47">
            <v>0</v>
          </cell>
          <cell r="V47">
            <v>0</v>
          </cell>
          <cell r="W47">
            <v>355.59271611573956</v>
          </cell>
        </row>
        <row r="48">
          <cell r="B48">
            <v>209</v>
          </cell>
          <cell r="C48">
            <v>37</v>
          </cell>
          <cell r="D48">
            <v>4500090612</v>
          </cell>
          <cell r="E48" t="str">
            <v>209-TW-2-05</v>
          </cell>
          <cell r="F48">
            <v>4970</v>
          </cell>
          <cell r="G48" t="str">
            <v>Segaramakmur</v>
          </cell>
          <cell r="H48" t="str">
            <v>Jawa Barat</v>
          </cell>
          <cell r="I48" t="str">
            <v>51m Light</v>
          </cell>
          <cell r="J48">
            <v>7175.65</v>
          </cell>
          <cell r="K48">
            <v>526.91000000000076</v>
          </cell>
          <cell r="L48">
            <v>7702.56</v>
          </cell>
          <cell r="M48">
            <v>97629948</v>
          </cell>
          <cell r="N48">
            <v>2.5</v>
          </cell>
          <cell r="O48">
            <v>6</v>
          </cell>
          <cell r="P48">
            <v>0.44463047567858105</v>
          </cell>
          <cell r="Q48">
            <v>0.37372917226551999</v>
          </cell>
          <cell r="R48">
            <v>0.30838484278419787</v>
          </cell>
          <cell r="S48">
            <v>92</v>
          </cell>
          <cell r="T48">
            <v>12</v>
          </cell>
          <cell r="U48">
            <v>0</v>
          </cell>
          <cell r="V48">
            <v>0</v>
          </cell>
          <cell r="W48">
            <v>332.87271611573954</v>
          </cell>
        </row>
        <row r="49">
          <cell r="B49">
            <v>210</v>
          </cell>
          <cell r="C49">
            <v>38</v>
          </cell>
          <cell r="D49">
            <v>4500090625</v>
          </cell>
          <cell r="E49" t="str">
            <v>210-TW-2-05</v>
          </cell>
          <cell r="F49">
            <v>2478</v>
          </cell>
          <cell r="G49" t="str">
            <v>Tonjong</v>
          </cell>
          <cell r="H49" t="str">
            <v>Jawa Tengah</v>
          </cell>
          <cell r="I49" t="str">
            <v>71m Light</v>
          </cell>
          <cell r="J49">
            <v>13393.87</v>
          </cell>
          <cell r="K49">
            <v>350.21999999999935</v>
          </cell>
          <cell r="L49">
            <v>13744.09</v>
          </cell>
          <cell r="M49">
            <v>174206340.75</v>
          </cell>
          <cell r="N49">
            <v>2</v>
          </cell>
          <cell r="O49">
            <v>4</v>
          </cell>
          <cell r="P49">
            <v>0.26280435366836874</v>
          </cell>
          <cell r="Q49">
            <v>0.21765923138941146</v>
          </cell>
          <cell r="R49">
            <v>0.20558989518946522</v>
          </cell>
          <cell r="S49">
            <v>64</v>
          </cell>
          <cell r="T49">
            <v>0</v>
          </cell>
          <cell r="U49">
            <v>0</v>
          </cell>
          <cell r="V49">
            <v>0</v>
          </cell>
          <cell r="W49">
            <v>227.64356296097228</v>
          </cell>
        </row>
        <row r="50">
          <cell r="B50">
            <v>211</v>
          </cell>
          <cell r="C50">
            <v>39</v>
          </cell>
          <cell r="D50">
            <v>4500090681</v>
          </cell>
          <cell r="E50" t="str">
            <v>211-TW-2-05</v>
          </cell>
          <cell r="F50" t="str">
            <v>A608</v>
          </cell>
          <cell r="G50" t="str">
            <v>Sumber Gempol</v>
          </cell>
          <cell r="H50" t="str">
            <v>Jawa Timur</v>
          </cell>
          <cell r="I50" t="str">
            <v>51m Light</v>
          </cell>
          <cell r="J50">
            <v>7175.65</v>
          </cell>
          <cell r="K50">
            <v>769.96</v>
          </cell>
          <cell r="L50">
            <v>7945.61</v>
          </cell>
          <cell r="M50">
            <v>100710606.75</v>
          </cell>
          <cell r="N50">
            <v>3.5</v>
          </cell>
          <cell r="O50">
            <v>6</v>
          </cell>
          <cell r="P50">
            <v>0.43488309594195118</v>
          </cell>
          <cell r="Q50">
            <v>0.37372917226551999</v>
          </cell>
          <cell r="R50">
            <v>0.30838484278419787</v>
          </cell>
          <cell r="S50">
            <v>104</v>
          </cell>
          <cell r="T50">
            <v>0</v>
          </cell>
          <cell r="U50">
            <v>0</v>
          </cell>
          <cell r="V50">
            <v>0</v>
          </cell>
          <cell r="W50">
            <v>377.09970885962559</v>
          </cell>
        </row>
        <row r="51">
          <cell r="B51">
            <v>212</v>
          </cell>
          <cell r="C51">
            <v>40</v>
          </cell>
          <cell r="D51">
            <v>4500090696</v>
          </cell>
          <cell r="E51" t="str">
            <v>212-TW-2-05</v>
          </cell>
          <cell r="F51">
            <v>4924</v>
          </cell>
          <cell r="G51" t="str">
            <v>Deltamas Bekasi</v>
          </cell>
          <cell r="H51" t="str">
            <v>Jawa Barat</v>
          </cell>
          <cell r="I51" t="str">
            <v>51m Light</v>
          </cell>
          <cell r="J51">
            <v>7175.65</v>
          </cell>
          <cell r="K51">
            <v>526.91000000000076</v>
          </cell>
          <cell r="L51">
            <v>7702.56</v>
          </cell>
          <cell r="M51">
            <v>97629948</v>
          </cell>
          <cell r="N51">
            <v>2.5</v>
          </cell>
          <cell r="O51">
            <v>6</v>
          </cell>
          <cell r="P51">
            <v>0.44463047567858105</v>
          </cell>
          <cell r="Q51">
            <v>0.37372917226551999</v>
          </cell>
          <cell r="R51">
            <v>0.30838484278419787</v>
          </cell>
          <cell r="S51">
            <v>92</v>
          </cell>
          <cell r="T51">
            <v>12</v>
          </cell>
          <cell r="U51">
            <v>0</v>
          </cell>
          <cell r="V51">
            <v>0</v>
          </cell>
          <cell r="W51">
            <v>332.87271611573954</v>
          </cell>
        </row>
        <row r="52">
          <cell r="B52">
            <v>213</v>
          </cell>
          <cell r="C52">
            <v>41</v>
          </cell>
          <cell r="D52">
            <v>4500090699</v>
          </cell>
          <cell r="E52" t="str">
            <v>213-TW-2-05</v>
          </cell>
          <cell r="F52">
            <v>2837</v>
          </cell>
          <cell r="G52" t="str">
            <v>Bunitin</v>
          </cell>
          <cell r="H52" t="str">
            <v>Bali</v>
          </cell>
          <cell r="I52" t="str">
            <v>51m Light</v>
          </cell>
          <cell r="J52">
            <v>7175.65</v>
          </cell>
          <cell r="K52">
            <v>553.95000000000073</v>
          </cell>
          <cell r="L52">
            <v>7729.6</v>
          </cell>
          <cell r="M52">
            <v>97972680</v>
          </cell>
          <cell r="N52">
            <v>2</v>
          </cell>
          <cell r="O52">
            <v>6</v>
          </cell>
          <cell r="P52">
            <v>0.43657014243482933</v>
          </cell>
          <cell r="Q52">
            <v>0.37372917226551999</v>
          </cell>
          <cell r="R52">
            <v>0.30838484278419787</v>
          </cell>
          <cell r="S52">
            <v>104</v>
          </cell>
          <cell r="T52">
            <v>0</v>
          </cell>
          <cell r="U52">
            <v>0</v>
          </cell>
          <cell r="V52">
            <v>0</v>
          </cell>
          <cell r="W52">
            <v>309.14965242318374</v>
          </cell>
        </row>
        <row r="53">
          <cell r="B53">
            <v>214</v>
          </cell>
          <cell r="C53">
            <v>42</v>
          </cell>
          <cell r="D53">
            <v>4500090702</v>
          </cell>
          <cell r="E53" t="str">
            <v>214-TW-2-05</v>
          </cell>
          <cell r="F53">
            <v>3471</v>
          </cell>
          <cell r="G53" t="str">
            <v>Pasar Panas</v>
          </cell>
          <cell r="H53" t="str">
            <v>Kaltim</v>
          </cell>
          <cell r="I53" t="str">
            <v>71m Light</v>
          </cell>
          <cell r="J53">
            <v>13393.87</v>
          </cell>
          <cell r="K53">
            <v>493.49</v>
          </cell>
          <cell r="L53">
            <v>13887.36</v>
          </cell>
          <cell r="M53">
            <v>176022288</v>
          </cell>
          <cell r="N53">
            <v>1.5</v>
          </cell>
          <cell r="O53">
            <v>2</v>
          </cell>
          <cell r="P53">
            <v>0.19963383499059395</v>
          </cell>
          <cell r="Q53">
            <v>0.15606994087610856</v>
          </cell>
          <cell r="R53">
            <v>0.10279494759473261</v>
          </cell>
          <cell r="S53">
            <v>34</v>
          </cell>
          <cell r="T53">
            <v>6</v>
          </cell>
          <cell r="U53">
            <v>0</v>
          </cell>
          <cell r="V53">
            <v>0</v>
          </cell>
          <cell r="W53">
            <v>152.88522410343697</v>
          </cell>
        </row>
        <row r="54">
          <cell r="B54">
            <v>215</v>
          </cell>
          <cell r="C54">
            <v>43</v>
          </cell>
          <cell r="D54">
            <v>4500090723</v>
          </cell>
          <cell r="E54" t="str">
            <v>215-TW-2-05</v>
          </cell>
          <cell r="F54">
            <v>1790</v>
          </cell>
          <cell r="G54" t="str">
            <v>Purwodadi Situbondo</v>
          </cell>
          <cell r="H54" t="str">
            <v>Jawa Timur</v>
          </cell>
          <cell r="I54" t="str">
            <v>71m Light</v>
          </cell>
          <cell r="J54">
            <v>13393.87</v>
          </cell>
          <cell r="K54">
            <v>765</v>
          </cell>
          <cell r="L54">
            <v>14158.87</v>
          </cell>
          <cell r="M54">
            <v>179463677.25</v>
          </cell>
          <cell r="N54">
            <v>3.5</v>
          </cell>
          <cell r="O54">
            <v>6</v>
          </cell>
          <cell r="P54">
            <v>0.45569000268744958</v>
          </cell>
          <cell r="Q54">
            <v>0.37372917226551999</v>
          </cell>
          <cell r="R54">
            <v>0.30838484278419787</v>
          </cell>
          <cell r="S54">
            <v>98</v>
          </cell>
          <cell r="T54">
            <v>3</v>
          </cell>
          <cell r="U54">
            <v>3</v>
          </cell>
          <cell r="V54">
            <v>0</v>
          </cell>
          <cell r="W54">
            <v>379.68901281017651</v>
          </cell>
        </row>
        <row r="55">
          <cell r="B55">
            <v>216</v>
          </cell>
          <cell r="C55">
            <v>44</v>
          </cell>
          <cell r="D55">
            <v>4500090842</v>
          </cell>
          <cell r="E55" t="str">
            <v>216-TW-2-05</v>
          </cell>
          <cell r="F55">
            <v>4968</v>
          </cell>
          <cell r="G55" t="str">
            <v>Sukamanah Bekasi</v>
          </cell>
          <cell r="H55" t="str">
            <v>Jawa Barat</v>
          </cell>
          <cell r="I55" t="str">
            <v>51m Light</v>
          </cell>
          <cell r="J55">
            <v>7175.65</v>
          </cell>
          <cell r="K55">
            <v>545.57000000000062</v>
          </cell>
          <cell r="L55">
            <v>7721.22</v>
          </cell>
          <cell r="M55">
            <v>97866463.5</v>
          </cell>
          <cell r="N55">
            <v>2</v>
          </cell>
          <cell r="O55">
            <v>6</v>
          </cell>
          <cell r="P55">
            <v>0.43488309594195118</v>
          </cell>
          <cell r="Q55">
            <v>0.37372917226551999</v>
          </cell>
          <cell r="R55">
            <v>0.30838484278419787</v>
          </cell>
          <cell r="S55">
            <v>104</v>
          </cell>
          <cell r="T55">
            <v>0</v>
          </cell>
          <cell r="U55">
            <v>0</v>
          </cell>
          <cell r="V55">
            <v>0</v>
          </cell>
          <cell r="W55">
            <v>308.93970885962557</v>
          </cell>
        </row>
        <row r="56">
          <cell r="B56">
            <v>217</v>
          </cell>
          <cell r="C56">
            <v>45</v>
          </cell>
          <cell r="D56">
            <v>4500090855</v>
          </cell>
          <cell r="E56" t="str">
            <v>217-TW-2-05</v>
          </cell>
          <cell r="F56">
            <v>2835</v>
          </cell>
          <cell r="G56" t="str">
            <v>Mendoyo</v>
          </cell>
          <cell r="H56" t="str">
            <v>Bali</v>
          </cell>
          <cell r="I56" t="str">
            <v>51m Light</v>
          </cell>
          <cell r="J56">
            <v>7175.65</v>
          </cell>
          <cell r="K56">
            <v>653.35</v>
          </cell>
          <cell r="L56">
            <v>7829</v>
          </cell>
          <cell r="M56">
            <v>99232575</v>
          </cell>
          <cell r="N56">
            <v>3.5</v>
          </cell>
          <cell r="O56">
            <v>6</v>
          </cell>
          <cell r="P56">
            <v>0.43488309594195118</v>
          </cell>
          <cell r="Q56">
            <v>0.37372917226551999</v>
          </cell>
          <cell r="R56">
            <v>0.30838484278419787</v>
          </cell>
          <cell r="S56">
            <v>104</v>
          </cell>
          <cell r="T56">
            <v>0</v>
          </cell>
          <cell r="U56">
            <v>0</v>
          </cell>
          <cell r="V56">
            <v>0</v>
          </cell>
          <cell r="W56">
            <v>377.09970885962559</v>
          </cell>
        </row>
        <row r="57">
          <cell r="B57">
            <v>219</v>
          </cell>
          <cell r="C57">
            <v>46</v>
          </cell>
          <cell r="D57">
            <v>4500090221</v>
          </cell>
          <cell r="E57" t="str">
            <v>219-TW-2-05</v>
          </cell>
          <cell r="F57">
            <v>2467</v>
          </cell>
          <cell r="G57" t="str">
            <v>Playen</v>
          </cell>
          <cell r="H57" t="str">
            <v>Jawa Tengah</v>
          </cell>
          <cell r="I57" t="str">
            <v>51m Light</v>
          </cell>
          <cell r="J57">
            <v>4523.7700000000004</v>
          </cell>
          <cell r="K57">
            <v>43.089999999999236</v>
          </cell>
          <cell r="L57">
            <v>4566.8599999999997</v>
          </cell>
          <cell r="M57">
            <v>57884950.499999993</v>
          </cell>
          <cell r="N57">
            <v>2.5</v>
          </cell>
          <cell r="O57">
            <v>4</v>
          </cell>
          <cell r="P57">
            <v>0.31791453910239181</v>
          </cell>
          <cell r="Q57">
            <v>0.26489955657081432</v>
          </cell>
          <cell r="R57">
            <v>0.20558989518946522</v>
          </cell>
          <cell r="S57">
            <v>72</v>
          </cell>
          <cell r="T57">
            <v>0</v>
          </cell>
          <cell r="U57">
            <v>0</v>
          </cell>
          <cell r="V57">
            <v>0</v>
          </cell>
          <cell r="W57">
            <v>265.07411120069281</v>
          </cell>
        </row>
        <row r="58">
          <cell r="B58">
            <v>257</v>
          </cell>
          <cell r="C58">
            <v>47</v>
          </cell>
          <cell r="D58">
            <v>4500094116</v>
          </cell>
          <cell r="E58" t="str">
            <v>257-TW-2-05</v>
          </cell>
          <cell r="F58">
            <v>2300</v>
          </cell>
          <cell r="G58" t="str">
            <v>Sidareja</v>
          </cell>
          <cell r="H58" t="str">
            <v>Jawa Tengah</v>
          </cell>
          <cell r="I58" t="str">
            <v>71m Light</v>
          </cell>
          <cell r="J58">
            <v>13393.87</v>
          </cell>
          <cell r="K58">
            <v>437.06</v>
          </cell>
          <cell r="L58">
            <v>13830.93</v>
          </cell>
          <cell r="M58">
            <v>175307037.75</v>
          </cell>
          <cell r="N58">
            <v>3</v>
          </cell>
          <cell r="O58">
            <v>4</v>
          </cell>
          <cell r="P58">
            <v>0.39589357699543137</v>
          </cell>
          <cell r="Q58">
            <v>0.31213988175221713</v>
          </cell>
          <cell r="R58">
            <v>0.20558989518946522</v>
          </cell>
          <cell r="S58">
            <v>68</v>
          </cell>
          <cell r="T58">
            <v>12</v>
          </cell>
          <cell r="U58">
            <v>0</v>
          </cell>
          <cell r="V58">
            <v>0</v>
          </cell>
          <cell r="W58">
            <v>305.35056107975754</v>
          </cell>
        </row>
        <row r="59">
          <cell r="B59">
            <v>258</v>
          </cell>
          <cell r="C59">
            <v>48</v>
          </cell>
          <cell r="D59">
            <v>4500092152</v>
          </cell>
          <cell r="E59" t="str">
            <v>258-TW-2-05</v>
          </cell>
          <cell r="F59">
            <v>2430</v>
          </cell>
          <cell r="G59" t="str">
            <v>Surodadi</v>
          </cell>
          <cell r="H59" t="str">
            <v>Jawa Tengah</v>
          </cell>
          <cell r="I59" t="str">
            <v>71m Light</v>
          </cell>
          <cell r="J59">
            <v>13393.87</v>
          </cell>
          <cell r="K59">
            <v>568.52999999999884</v>
          </cell>
          <cell r="L59">
            <v>13962.4</v>
          </cell>
          <cell r="M59">
            <v>176973420</v>
          </cell>
          <cell r="N59">
            <v>3.5</v>
          </cell>
          <cell r="O59">
            <v>6</v>
          </cell>
          <cell r="P59">
            <v>0.45569000268744958</v>
          </cell>
          <cell r="Q59">
            <v>0.37372917226551999</v>
          </cell>
          <cell r="R59">
            <v>0.30838484278419787</v>
          </cell>
          <cell r="S59">
            <v>98</v>
          </cell>
          <cell r="T59">
            <v>3</v>
          </cell>
          <cell r="U59">
            <v>3</v>
          </cell>
          <cell r="V59">
            <v>0</v>
          </cell>
          <cell r="W59">
            <v>379.68901281017651</v>
          </cell>
        </row>
        <row r="60">
          <cell r="B60">
            <v>260</v>
          </cell>
          <cell r="C60">
            <v>49</v>
          </cell>
          <cell r="D60">
            <v>4500092224</v>
          </cell>
          <cell r="E60" t="str">
            <v>260-TW-2-05</v>
          </cell>
          <cell r="F60">
            <v>2446</v>
          </cell>
          <cell r="G60" t="str">
            <v>Baturetno</v>
          </cell>
          <cell r="H60" t="str">
            <v>Jawa Tengah</v>
          </cell>
          <cell r="I60" t="str">
            <v>71m Light</v>
          </cell>
          <cell r="J60">
            <v>13393.87</v>
          </cell>
          <cell r="K60">
            <v>548.86</v>
          </cell>
          <cell r="L60">
            <v>13942.73</v>
          </cell>
          <cell r="M60">
            <v>176724102.75</v>
          </cell>
          <cell r="N60">
            <v>3.5</v>
          </cell>
          <cell r="O60">
            <v>6</v>
          </cell>
          <cell r="P60">
            <v>0.32934896533190006</v>
          </cell>
          <cell r="Q60">
            <v>0.27924852190271438</v>
          </cell>
          <cell r="R60">
            <v>0.30838484278419787</v>
          </cell>
          <cell r="S60">
            <v>82</v>
          </cell>
          <cell r="T60">
            <v>3</v>
          </cell>
          <cell r="U60">
            <v>3</v>
          </cell>
          <cell r="V60">
            <v>0</v>
          </cell>
          <cell r="W60">
            <v>348.26178894562401</v>
          </cell>
        </row>
        <row r="61">
          <cell r="B61">
            <v>263</v>
          </cell>
          <cell r="C61">
            <v>50</v>
          </cell>
          <cell r="D61">
            <v>4500092936</v>
          </cell>
          <cell r="E61" t="str">
            <v>263-TW-2-05</v>
          </cell>
          <cell r="F61">
            <v>3967</v>
          </cell>
          <cell r="G61" t="str">
            <v>Pulau Sebatik</v>
          </cell>
          <cell r="H61" t="str">
            <v>Kaltim</v>
          </cell>
          <cell r="I61" t="str">
            <v>71m Light</v>
          </cell>
          <cell r="J61">
            <v>13393.87</v>
          </cell>
          <cell r="K61">
            <v>575.82000000000005</v>
          </cell>
          <cell r="L61">
            <v>13969.69</v>
          </cell>
          <cell r="M61">
            <v>177065820.75</v>
          </cell>
          <cell r="N61">
            <v>3.5</v>
          </cell>
          <cell r="O61">
            <v>6</v>
          </cell>
          <cell r="P61">
            <v>0.4897121069604945</v>
          </cell>
          <cell r="Q61">
            <v>0.39734933485622148</v>
          </cell>
          <cell r="R61">
            <v>0.30838484278419787</v>
          </cell>
          <cell r="S61">
            <v>108</v>
          </cell>
          <cell r="T61">
            <v>0</v>
          </cell>
          <cell r="U61">
            <v>0</v>
          </cell>
          <cell r="V61">
            <v>0</v>
          </cell>
          <cell r="W61">
            <v>387.8490705903431</v>
          </cell>
        </row>
        <row r="62">
          <cell r="B62">
            <v>265</v>
          </cell>
          <cell r="C62">
            <v>51</v>
          </cell>
          <cell r="D62">
            <v>4500092816</v>
          </cell>
          <cell r="E62" t="str">
            <v>265-TW-2-05</v>
          </cell>
          <cell r="F62">
            <v>2198</v>
          </cell>
          <cell r="G62" t="str">
            <v>Malimping</v>
          </cell>
          <cell r="H62" t="str">
            <v>Banten</v>
          </cell>
          <cell r="I62" t="str">
            <v>51m Light</v>
          </cell>
          <cell r="J62">
            <v>7175.65</v>
          </cell>
          <cell r="K62">
            <v>514.44000000000051</v>
          </cell>
          <cell r="L62">
            <v>7690.09</v>
          </cell>
          <cell r="M62">
            <v>97471890.75</v>
          </cell>
          <cell r="N62">
            <v>3.5</v>
          </cell>
          <cell r="O62">
            <v>6</v>
          </cell>
          <cell r="P62">
            <v>0.43488309594195118</v>
          </cell>
          <cell r="Q62">
            <v>0.37372917226551999</v>
          </cell>
          <cell r="R62">
            <v>0.30838484278419787</v>
          </cell>
          <cell r="S62">
            <v>104</v>
          </cell>
          <cell r="T62">
            <v>0</v>
          </cell>
          <cell r="U62">
            <v>0</v>
          </cell>
          <cell r="V62">
            <v>0</v>
          </cell>
          <cell r="W62">
            <v>377.09970885962559</v>
          </cell>
        </row>
        <row r="63">
          <cell r="B63">
            <v>268</v>
          </cell>
          <cell r="C63">
            <v>52</v>
          </cell>
          <cell r="D63">
            <v>4500094071</v>
          </cell>
          <cell r="E63" t="str">
            <v>268-TW-2-05</v>
          </cell>
          <cell r="F63">
            <v>2449</v>
          </cell>
          <cell r="G63" t="str">
            <v>Trangkil</v>
          </cell>
          <cell r="H63" t="str">
            <v>Jawa Tengah</v>
          </cell>
          <cell r="I63" t="str">
            <v>71m Light</v>
          </cell>
          <cell r="J63">
            <v>13393.87</v>
          </cell>
          <cell r="K63">
            <v>568.57000000000005</v>
          </cell>
          <cell r="L63">
            <v>13962.44</v>
          </cell>
          <cell r="M63">
            <v>176973927</v>
          </cell>
          <cell r="N63">
            <v>3.5</v>
          </cell>
          <cell r="O63">
            <v>6</v>
          </cell>
          <cell r="P63">
            <v>0.52223461435098095</v>
          </cell>
          <cell r="Q63">
            <v>0.42096949744692291</v>
          </cell>
          <cell r="R63">
            <v>0.30838484278419787</v>
          </cell>
          <cell r="S63">
            <v>100</v>
          </cell>
          <cell r="T63">
            <v>6</v>
          </cell>
          <cell r="U63">
            <v>6</v>
          </cell>
          <cell r="V63">
            <v>0</v>
          </cell>
          <cell r="W63">
            <v>395.82251186956915</v>
          </cell>
        </row>
        <row r="64">
          <cell r="B64">
            <v>284</v>
          </cell>
          <cell r="C64">
            <v>53</v>
          </cell>
          <cell r="D64" t="str">
            <v>4500094766</v>
          </cell>
          <cell r="E64" t="str">
            <v>284-TW-2-05</v>
          </cell>
          <cell r="F64" t="str">
            <v>C723</v>
          </cell>
          <cell r="G64" t="str">
            <v>M. Yamin</v>
          </cell>
          <cell r="H64" t="str">
            <v>Makassar</v>
          </cell>
          <cell r="I64" t="str">
            <v>31m Light</v>
          </cell>
          <cell r="J64">
            <v>3602.06</v>
          </cell>
          <cell r="K64">
            <v>201.9</v>
          </cell>
          <cell r="L64">
            <v>3803.96</v>
          </cell>
          <cell r="M64">
            <v>48215193</v>
          </cell>
          <cell r="N64">
            <v>2</v>
          </cell>
          <cell r="O64">
            <v>0</v>
          </cell>
          <cell r="P64">
            <v>0.28070579145391023</v>
          </cell>
          <cell r="Q64">
            <v>0.21258146331631284</v>
          </cell>
          <cell r="R64">
            <v>0</v>
          </cell>
          <cell r="S64">
            <v>36</v>
          </cell>
          <cell r="T64">
            <v>0</v>
          </cell>
          <cell r="U64">
            <v>0</v>
          </cell>
          <cell r="V64">
            <v>0</v>
          </cell>
          <cell r="W64">
            <v>161.14803950550927</v>
          </cell>
        </row>
        <row r="65">
          <cell r="B65">
            <v>285</v>
          </cell>
          <cell r="C65">
            <v>54</v>
          </cell>
          <cell r="D65">
            <v>4500094711</v>
          </cell>
          <cell r="E65" t="str">
            <v>285-TW-2-05</v>
          </cell>
          <cell r="F65">
            <v>2481</v>
          </cell>
          <cell r="G65" t="str">
            <v>Balapulang</v>
          </cell>
          <cell r="H65" t="str">
            <v>Jawa Tengah</v>
          </cell>
          <cell r="I65" t="str">
            <v>71m Light</v>
          </cell>
          <cell r="J65">
            <v>13393.87</v>
          </cell>
          <cell r="K65">
            <v>298.52999999999884</v>
          </cell>
          <cell r="L65">
            <v>13692.4</v>
          </cell>
          <cell r="M65">
            <v>173551170</v>
          </cell>
          <cell r="N65">
            <v>3.5</v>
          </cell>
          <cell r="O65">
            <v>6</v>
          </cell>
          <cell r="P65">
            <v>0.45569000268744958</v>
          </cell>
          <cell r="Q65">
            <v>0.37372917226551999</v>
          </cell>
          <cell r="R65">
            <v>0.30838484278419787</v>
          </cell>
          <cell r="S65">
            <v>98</v>
          </cell>
          <cell r="T65">
            <v>3</v>
          </cell>
          <cell r="U65">
            <v>3</v>
          </cell>
          <cell r="V65">
            <v>0</v>
          </cell>
          <cell r="W65">
            <v>379.68901281017651</v>
          </cell>
        </row>
        <row r="66">
          <cell r="B66">
            <v>286</v>
          </cell>
          <cell r="C66">
            <v>55</v>
          </cell>
          <cell r="D66" t="str">
            <v>4500095165</v>
          </cell>
          <cell r="E66" t="str">
            <v>286-TW-2-05</v>
          </cell>
          <cell r="F66" t="str">
            <v>0007</v>
          </cell>
          <cell r="G66" t="str">
            <v>Cinere Country</v>
          </cell>
          <cell r="H66" t="str">
            <v>Depok</v>
          </cell>
          <cell r="I66" t="str">
            <v>31m Light</v>
          </cell>
          <cell r="J66">
            <v>3602.06</v>
          </cell>
          <cell r="K66">
            <v>167.2</v>
          </cell>
          <cell r="L66">
            <v>3769.26</v>
          </cell>
          <cell r="M66">
            <v>47775370.5</v>
          </cell>
          <cell r="N66">
            <v>2</v>
          </cell>
          <cell r="O66">
            <v>0</v>
          </cell>
          <cell r="P66">
            <v>0.24668368718086536</v>
          </cell>
          <cell r="Q66">
            <v>0.1889613007256114</v>
          </cell>
          <cell r="R66">
            <v>0</v>
          </cell>
          <cell r="S66">
            <v>32</v>
          </cell>
          <cell r="T66">
            <v>0</v>
          </cell>
          <cell r="U66">
            <v>0</v>
          </cell>
          <cell r="V66">
            <v>0</v>
          </cell>
          <cell r="W66">
            <v>152.98798172534265</v>
          </cell>
        </row>
        <row r="67">
          <cell r="B67">
            <v>289</v>
          </cell>
          <cell r="C67">
            <v>56</v>
          </cell>
          <cell r="D67" t="str">
            <v>4500095342</v>
          </cell>
          <cell r="E67" t="str">
            <v>289-TW-2-05</v>
          </cell>
          <cell r="F67">
            <v>1814</v>
          </cell>
          <cell r="G67" t="str">
            <v>Gadel</v>
          </cell>
          <cell r="H67" t="str">
            <v>Jawa Timur</v>
          </cell>
          <cell r="I67" t="str">
            <v>31m Light</v>
          </cell>
          <cell r="J67">
            <v>3602.06</v>
          </cell>
          <cell r="K67">
            <v>167.2</v>
          </cell>
          <cell r="L67">
            <v>3769.26</v>
          </cell>
          <cell r="M67">
            <v>47775370.5</v>
          </cell>
          <cell r="N67">
            <v>2</v>
          </cell>
          <cell r="O67">
            <v>0</v>
          </cell>
          <cell r="P67">
            <v>0.24668368718086536</v>
          </cell>
          <cell r="Q67">
            <v>0.1889613007256114</v>
          </cell>
          <cell r="R67">
            <v>0</v>
          </cell>
          <cell r="S67">
            <v>32</v>
          </cell>
          <cell r="T67">
            <v>0</v>
          </cell>
          <cell r="U67">
            <v>0</v>
          </cell>
          <cell r="V67">
            <v>0</v>
          </cell>
          <cell r="W67">
            <v>152.98798172534265</v>
          </cell>
        </row>
        <row r="68">
          <cell r="B68">
            <v>290</v>
          </cell>
          <cell r="C68">
            <v>57</v>
          </cell>
          <cell r="D68" t="str">
            <v>4500095378</v>
          </cell>
          <cell r="E68" t="str">
            <v>290-TW-2-05</v>
          </cell>
          <cell r="F68">
            <v>2648</v>
          </cell>
          <cell r="G68" t="str">
            <v>Korleko</v>
          </cell>
          <cell r="H68" t="str">
            <v>NTB</v>
          </cell>
          <cell r="I68" t="str">
            <v>51m Light</v>
          </cell>
          <cell r="J68">
            <v>7175.65</v>
          </cell>
          <cell r="K68">
            <v>566.35</v>
          </cell>
          <cell r="L68">
            <v>7742</v>
          </cell>
          <cell r="M68">
            <v>98129850</v>
          </cell>
          <cell r="N68">
            <v>3.5</v>
          </cell>
          <cell r="O68">
            <v>6</v>
          </cell>
          <cell r="P68">
            <v>0.43657014243482933</v>
          </cell>
          <cell r="Q68">
            <v>0.37372917226551999</v>
          </cell>
          <cell r="R68">
            <v>0.30838484278419787</v>
          </cell>
          <cell r="S68">
            <v>98</v>
          </cell>
          <cell r="T68">
            <v>6</v>
          </cell>
          <cell r="U68">
            <v>0</v>
          </cell>
          <cell r="V68">
            <v>0</v>
          </cell>
          <cell r="W68">
            <v>377.30965242318376</v>
          </cell>
        </row>
        <row r="69">
          <cell r="B69">
            <v>291</v>
          </cell>
          <cell r="C69">
            <v>58</v>
          </cell>
          <cell r="D69">
            <v>4500095384</v>
          </cell>
          <cell r="E69" t="str">
            <v>291-TW-2-05</v>
          </cell>
          <cell r="F69">
            <v>2649</v>
          </cell>
          <cell r="G69" t="str">
            <v>Sengkol</v>
          </cell>
          <cell r="H69" t="str">
            <v>NTB</v>
          </cell>
          <cell r="I69" t="str">
            <v>51m Light</v>
          </cell>
          <cell r="J69">
            <v>7175.65</v>
          </cell>
          <cell r="K69">
            <v>391.35</v>
          </cell>
          <cell r="L69">
            <v>7567</v>
          </cell>
          <cell r="M69">
            <v>95911725</v>
          </cell>
          <cell r="N69">
            <v>2.5</v>
          </cell>
          <cell r="O69">
            <v>4</v>
          </cell>
          <cell r="P69">
            <v>0.31322829884439668</v>
          </cell>
          <cell r="Q69">
            <v>0.26489955657081432</v>
          </cell>
          <cell r="R69">
            <v>0.20558989518946522</v>
          </cell>
          <cell r="S69">
            <v>66</v>
          </cell>
          <cell r="T69">
            <v>6</v>
          </cell>
          <cell r="U69">
            <v>0</v>
          </cell>
          <cell r="V69">
            <v>0</v>
          </cell>
          <cell r="W69">
            <v>264.49093463525338</v>
          </cell>
        </row>
        <row r="70">
          <cell r="B70">
            <v>292</v>
          </cell>
          <cell r="C70">
            <v>59</v>
          </cell>
          <cell r="D70">
            <v>4500096732</v>
          </cell>
          <cell r="E70" t="str">
            <v>292-TW-2-05</v>
          </cell>
          <cell r="F70" t="str">
            <v>A636</v>
          </cell>
          <cell r="G70" t="str">
            <v>Pambon</v>
          </cell>
          <cell r="H70" t="str">
            <v>Jawa Timur</v>
          </cell>
          <cell r="I70" t="str">
            <v>51m Light</v>
          </cell>
          <cell r="J70">
            <v>7175.65</v>
          </cell>
          <cell r="K70">
            <v>595.89</v>
          </cell>
          <cell r="L70">
            <v>7771.54</v>
          </cell>
          <cell r="M70">
            <v>98504269.5</v>
          </cell>
          <cell r="N70">
            <v>4</v>
          </cell>
          <cell r="O70">
            <v>6</v>
          </cell>
          <cell r="P70">
            <v>0.4982410642300456</v>
          </cell>
          <cell r="Q70">
            <v>0.42096949744692291</v>
          </cell>
          <cell r="R70">
            <v>0.30838484278419787</v>
          </cell>
          <cell r="S70">
            <v>112</v>
          </cell>
          <cell r="T70">
            <v>0</v>
          </cell>
          <cell r="U70">
            <v>0</v>
          </cell>
          <cell r="V70">
            <v>0</v>
          </cell>
          <cell r="W70">
            <v>415.55664785451944</v>
          </cell>
        </row>
        <row r="71">
          <cell r="B71">
            <v>293</v>
          </cell>
          <cell r="C71">
            <v>60</v>
          </cell>
          <cell r="D71" t="str">
            <v>4500096734</v>
          </cell>
          <cell r="E71" t="str">
            <v>293-TW-2-05</v>
          </cell>
          <cell r="F71" t="str">
            <v>A638</v>
          </cell>
          <cell r="G71" t="str">
            <v>Sentul Lamongan</v>
          </cell>
          <cell r="H71" t="str">
            <v>Jawa Timur</v>
          </cell>
          <cell r="I71" t="str">
            <v>51m Light</v>
          </cell>
          <cell r="J71">
            <v>7175.65</v>
          </cell>
          <cell r="K71">
            <v>553.49000000000069</v>
          </cell>
          <cell r="L71">
            <v>7729.14</v>
          </cell>
          <cell r="M71">
            <v>97966849.5</v>
          </cell>
          <cell r="N71">
            <v>3.5</v>
          </cell>
          <cell r="O71">
            <v>6</v>
          </cell>
          <cell r="P71">
            <v>0.43488309594195118</v>
          </cell>
          <cell r="Q71">
            <v>0.37372917226551999</v>
          </cell>
          <cell r="R71">
            <v>0.30838484278419787</v>
          </cell>
          <cell r="S71">
            <v>104</v>
          </cell>
          <cell r="T71">
            <v>0</v>
          </cell>
          <cell r="U71">
            <v>0</v>
          </cell>
          <cell r="V71">
            <v>0</v>
          </cell>
          <cell r="W71">
            <v>377.09970885962559</v>
          </cell>
        </row>
        <row r="72">
          <cell r="B72">
            <v>294</v>
          </cell>
          <cell r="C72">
            <v>61</v>
          </cell>
          <cell r="D72" t="str">
            <v>4500096735</v>
          </cell>
          <cell r="E72" t="str">
            <v>294-TW-2-05</v>
          </cell>
          <cell r="F72" t="str">
            <v>A626</v>
          </cell>
          <cell r="G72" t="str">
            <v>Wonoayu Sidoarjo</v>
          </cell>
          <cell r="H72" t="str">
            <v>Jawa Timur</v>
          </cell>
          <cell r="I72" t="str">
            <v>51m Light</v>
          </cell>
          <cell r="J72">
            <v>7175.65</v>
          </cell>
          <cell r="K72">
            <v>564.76</v>
          </cell>
          <cell r="L72">
            <v>7740.41</v>
          </cell>
          <cell r="M72">
            <v>98109696.75</v>
          </cell>
          <cell r="N72">
            <v>3.5</v>
          </cell>
          <cell r="O72">
            <v>6</v>
          </cell>
          <cell r="P72">
            <v>0.43488309594195118</v>
          </cell>
          <cell r="Q72">
            <v>0.37372917226551999</v>
          </cell>
          <cell r="R72">
            <v>0.30838484278419787</v>
          </cell>
          <cell r="S72">
            <v>104</v>
          </cell>
          <cell r="T72">
            <v>0</v>
          </cell>
          <cell r="U72">
            <v>0</v>
          </cell>
          <cell r="V72">
            <v>0</v>
          </cell>
          <cell r="W72">
            <v>377.09970885962559</v>
          </cell>
        </row>
        <row r="73">
          <cell r="B73">
            <v>295</v>
          </cell>
          <cell r="C73">
            <v>62</v>
          </cell>
          <cell r="D73" t="str">
            <v>4500096731</v>
          </cell>
          <cell r="E73" t="str">
            <v>295-TW-2-05</v>
          </cell>
          <cell r="F73">
            <v>1822</v>
          </cell>
          <cell r="G73" t="str">
            <v>Kenjeran</v>
          </cell>
          <cell r="H73" t="str">
            <v>Jawa Timur</v>
          </cell>
          <cell r="I73" t="str">
            <v>31m Light</v>
          </cell>
          <cell r="J73">
            <v>3602.06</v>
          </cell>
          <cell r="K73">
            <v>167.2</v>
          </cell>
          <cell r="L73">
            <v>3769.26</v>
          </cell>
          <cell r="M73">
            <v>47775370.5</v>
          </cell>
          <cell r="N73">
            <v>2</v>
          </cell>
          <cell r="O73">
            <v>0</v>
          </cell>
          <cell r="P73">
            <v>0.24668368718086536</v>
          </cell>
          <cell r="Q73">
            <v>0.1889613007256114</v>
          </cell>
          <cell r="R73">
            <v>0</v>
          </cell>
          <cell r="S73">
            <v>32</v>
          </cell>
          <cell r="T73">
            <v>0</v>
          </cell>
          <cell r="U73">
            <v>0</v>
          </cell>
          <cell r="V73">
            <v>0</v>
          </cell>
          <cell r="W73">
            <v>152.98798172534265</v>
          </cell>
        </row>
        <row r="74">
          <cell r="B74">
            <v>296</v>
          </cell>
          <cell r="C74">
            <v>63</v>
          </cell>
          <cell r="D74">
            <v>4500095982</v>
          </cell>
          <cell r="E74" t="str">
            <v>296-TW-2-05</v>
          </cell>
          <cell r="F74" t="str">
            <v>B228A</v>
          </cell>
          <cell r="G74" t="str">
            <v>Paliyan</v>
          </cell>
          <cell r="H74" t="str">
            <v>DI Yogyakarta</v>
          </cell>
          <cell r="I74" t="str">
            <v>51m Light</v>
          </cell>
          <cell r="J74">
            <v>7175.65</v>
          </cell>
          <cell r="K74">
            <v>606.95000000000073</v>
          </cell>
          <cell r="L74">
            <v>7782.6</v>
          </cell>
          <cell r="M74">
            <v>98644455</v>
          </cell>
          <cell r="N74">
            <v>3.5</v>
          </cell>
          <cell r="O74">
            <v>6</v>
          </cell>
          <cell r="P74">
            <v>0.50142770760548239</v>
          </cell>
          <cell r="Q74">
            <v>0.42096949744692291</v>
          </cell>
          <cell r="R74">
            <v>0.30838484278419787</v>
          </cell>
          <cell r="S74">
            <v>112</v>
          </cell>
          <cell r="T74">
            <v>0</v>
          </cell>
          <cell r="U74">
            <v>0</v>
          </cell>
          <cell r="V74">
            <v>0</v>
          </cell>
          <cell r="W74">
            <v>393.23320791901824</v>
          </cell>
        </row>
        <row r="75">
          <cell r="B75">
            <v>297</v>
          </cell>
          <cell r="C75">
            <v>64</v>
          </cell>
          <cell r="D75" t="str">
            <v>4500095988</v>
          </cell>
          <cell r="E75" t="str">
            <v>297-TW-2-05</v>
          </cell>
          <cell r="F75" t="str">
            <v>B219</v>
          </cell>
          <cell r="G75" t="str">
            <v>Semanu</v>
          </cell>
          <cell r="H75" t="str">
            <v>DI Yogyakarta</v>
          </cell>
          <cell r="I75" t="str">
            <v>51m Light</v>
          </cell>
          <cell r="J75">
            <v>7175.65</v>
          </cell>
          <cell r="K75">
            <v>564.54999999999995</v>
          </cell>
          <cell r="L75">
            <v>7740.2</v>
          </cell>
          <cell r="M75">
            <v>98107035</v>
          </cell>
          <cell r="N75">
            <v>3.5</v>
          </cell>
          <cell r="O75">
            <v>6</v>
          </cell>
          <cell r="P75">
            <v>0.43488309594195118</v>
          </cell>
          <cell r="Q75">
            <v>0.37372917226551999</v>
          </cell>
          <cell r="R75">
            <v>0.30838484278419787</v>
          </cell>
          <cell r="S75">
            <v>104</v>
          </cell>
          <cell r="T75">
            <v>0</v>
          </cell>
          <cell r="U75">
            <v>0</v>
          </cell>
          <cell r="V75">
            <v>0</v>
          </cell>
          <cell r="W75">
            <v>377.09970885962559</v>
          </cell>
        </row>
        <row r="76">
          <cell r="B76">
            <v>298</v>
          </cell>
          <cell r="C76">
            <v>65</v>
          </cell>
          <cell r="D76" t="str">
            <v>4500095994</v>
          </cell>
          <cell r="E76" t="str">
            <v>298-TW-2-05</v>
          </cell>
          <cell r="F76" t="str">
            <v>B205A</v>
          </cell>
          <cell r="G76" t="str">
            <v>Pekalongan Utara</v>
          </cell>
          <cell r="H76" t="str">
            <v>Jawa Tengah</v>
          </cell>
          <cell r="I76" t="str">
            <v>51m Light</v>
          </cell>
          <cell r="J76">
            <v>7175.65</v>
          </cell>
          <cell r="K76">
            <v>565.79999999999995</v>
          </cell>
          <cell r="L76">
            <v>7741.45</v>
          </cell>
          <cell r="M76">
            <v>98122878.75</v>
          </cell>
          <cell r="N76">
            <v>3.5</v>
          </cell>
          <cell r="O76">
            <v>6</v>
          </cell>
          <cell r="P76">
            <v>0.43657014243482933</v>
          </cell>
          <cell r="Q76">
            <v>0.37372917226551999</v>
          </cell>
          <cell r="R76">
            <v>0.30838484278419787</v>
          </cell>
          <cell r="S76">
            <v>98</v>
          </cell>
          <cell r="T76">
            <v>6</v>
          </cell>
          <cell r="U76">
            <v>0</v>
          </cell>
          <cell r="V76">
            <v>0</v>
          </cell>
          <cell r="W76">
            <v>377.30965242318376</v>
          </cell>
        </row>
        <row r="77">
          <cell r="B77">
            <v>299</v>
          </cell>
          <cell r="C77">
            <v>66</v>
          </cell>
          <cell r="D77" t="str">
            <v>4500095965</v>
          </cell>
          <cell r="E77" t="str">
            <v>299-TW-2-05</v>
          </cell>
          <cell r="F77">
            <v>2731</v>
          </cell>
          <cell r="G77" t="str">
            <v>Manggalewa</v>
          </cell>
          <cell r="H77" t="str">
            <v>NTB</v>
          </cell>
          <cell r="I77" t="str">
            <v>51m Light</v>
          </cell>
          <cell r="J77">
            <v>7175.65</v>
          </cell>
          <cell r="K77">
            <v>564.35</v>
          </cell>
          <cell r="L77">
            <v>7740</v>
          </cell>
          <cell r="M77">
            <v>98104500</v>
          </cell>
          <cell r="N77">
            <v>3.5</v>
          </cell>
          <cell r="O77">
            <v>6</v>
          </cell>
          <cell r="P77">
            <v>0.43657014243482933</v>
          </cell>
          <cell r="Q77">
            <v>0.37372917226551999</v>
          </cell>
          <cell r="R77">
            <v>0.30838484278419787</v>
          </cell>
          <cell r="S77">
            <v>104</v>
          </cell>
          <cell r="T77">
            <v>0</v>
          </cell>
          <cell r="U77">
            <v>0</v>
          </cell>
          <cell r="V77">
            <v>0</v>
          </cell>
          <cell r="W77">
            <v>377.30965242318376</v>
          </cell>
        </row>
        <row r="78">
          <cell r="B78">
            <v>300</v>
          </cell>
          <cell r="C78">
            <v>67</v>
          </cell>
          <cell r="D78" t="str">
            <v>4500095771</v>
          </cell>
          <cell r="E78" t="str">
            <v>300-TW-2-05</v>
          </cell>
          <cell r="F78" t="str">
            <v>B220 A</v>
          </cell>
          <cell r="G78" t="str">
            <v>Terminal Wonogiri</v>
          </cell>
          <cell r="H78" t="str">
            <v>Jawa Tengah</v>
          </cell>
          <cell r="I78" t="str">
            <v>51m Light</v>
          </cell>
          <cell r="J78">
            <v>7175.65</v>
          </cell>
          <cell r="K78">
            <v>564.76</v>
          </cell>
          <cell r="L78">
            <v>7740.41</v>
          </cell>
          <cell r="M78">
            <v>98109696.75</v>
          </cell>
          <cell r="N78">
            <v>3.5</v>
          </cell>
          <cell r="O78">
            <v>6</v>
          </cell>
          <cell r="P78">
            <v>0.43488309594195118</v>
          </cell>
          <cell r="Q78">
            <v>0.37372917226551999</v>
          </cell>
          <cell r="R78">
            <v>0.30838484278419787</v>
          </cell>
          <cell r="S78">
            <v>104</v>
          </cell>
          <cell r="T78">
            <v>0</v>
          </cell>
          <cell r="U78">
            <v>0</v>
          </cell>
          <cell r="V78">
            <v>0</v>
          </cell>
          <cell r="W78">
            <v>377.09970885962559</v>
          </cell>
        </row>
        <row r="79">
          <cell r="B79">
            <v>301</v>
          </cell>
          <cell r="C79">
            <v>68</v>
          </cell>
          <cell r="D79" t="str">
            <v>4500095795</v>
          </cell>
          <cell r="E79" t="str">
            <v>301-TW-2-05</v>
          </cell>
          <cell r="F79" t="str">
            <v>0170</v>
          </cell>
          <cell r="G79" t="str">
            <v>Cibarusah Kota</v>
          </cell>
          <cell r="H79" t="str">
            <v>Bekasi</v>
          </cell>
          <cell r="I79" t="str">
            <v>51m Light</v>
          </cell>
          <cell r="J79">
            <v>7175.65</v>
          </cell>
          <cell r="K79">
            <v>702.64</v>
          </cell>
          <cell r="L79">
            <v>7878.29</v>
          </cell>
          <cell r="M79">
            <v>99857325.75</v>
          </cell>
          <cell r="N79">
            <v>3.5</v>
          </cell>
          <cell r="O79">
            <v>6</v>
          </cell>
          <cell r="P79">
            <v>0.4316964525665144</v>
          </cell>
          <cell r="Q79">
            <v>0.37372917226551999</v>
          </cell>
          <cell r="R79">
            <v>0.30838484278419787</v>
          </cell>
          <cell r="S79">
            <v>104</v>
          </cell>
          <cell r="T79">
            <v>0</v>
          </cell>
          <cell r="U79">
            <v>0</v>
          </cell>
          <cell r="V79">
            <v>0</v>
          </cell>
          <cell r="W79">
            <v>376.70314879512682</v>
          </cell>
        </row>
        <row r="80">
          <cell r="B80">
            <v>302</v>
          </cell>
          <cell r="C80">
            <v>69</v>
          </cell>
          <cell r="D80" t="str">
            <v>4500096019</v>
          </cell>
          <cell r="E80" t="str">
            <v>302-TW-2-05</v>
          </cell>
          <cell r="F80" t="str">
            <v>0286</v>
          </cell>
          <cell r="G80" t="str">
            <v>Sukaragam Cikarang</v>
          </cell>
          <cell r="H80" t="str">
            <v>Bekasi</v>
          </cell>
          <cell r="I80" t="str">
            <v>51m Light</v>
          </cell>
          <cell r="J80">
            <v>7175.65</v>
          </cell>
          <cell r="K80">
            <v>564.16000000000076</v>
          </cell>
          <cell r="L80">
            <v>7739.81</v>
          </cell>
          <cell r="M80">
            <v>98102091.75</v>
          </cell>
          <cell r="N80">
            <v>3.5</v>
          </cell>
          <cell r="O80">
            <v>6</v>
          </cell>
          <cell r="P80">
            <v>0.4316964525665144</v>
          </cell>
          <cell r="Q80">
            <v>0.37372917226551999</v>
          </cell>
          <cell r="R80">
            <v>0.30838484278419787</v>
          </cell>
          <cell r="S80">
            <v>104</v>
          </cell>
          <cell r="T80">
            <v>0</v>
          </cell>
          <cell r="U80">
            <v>0</v>
          </cell>
          <cell r="V80">
            <v>0</v>
          </cell>
          <cell r="W80">
            <v>376.70314879512682</v>
          </cell>
        </row>
        <row r="81">
          <cell r="B81">
            <v>303</v>
          </cell>
          <cell r="C81">
            <v>70</v>
          </cell>
          <cell r="D81" t="str">
            <v>4500095724</v>
          </cell>
          <cell r="E81" t="str">
            <v>303-TW-2-05</v>
          </cell>
          <cell r="F81">
            <v>2170</v>
          </cell>
          <cell r="G81" t="str">
            <v>Cineam</v>
          </cell>
          <cell r="H81" t="str">
            <v>Jawa Barat</v>
          </cell>
          <cell r="I81" t="str">
            <v>71m Light</v>
          </cell>
          <cell r="J81">
            <v>13393.87</v>
          </cell>
          <cell r="K81">
            <v>568.52999999999884</v>
          </cell>
          <cell r="L81">
            <v>13962.4</v>
          </cell>
          <cell r="M81">
            <v>176973420</v>
          </cell>
          <cell r="N81">
            <v>3.5</v>
          </cell>
          <cell r="O81">
            <v>6</v>
          </cell>
          <cell r="P81">
            <v>0.45569000268744958</v>
          </cell>
          <cell r="Q81">
            <v>0.37372917226551999</v>
          </cell>
          <cell r="R81">
            <v>0.30838484278419787</v>
          </cell>
          <cell r="S81">
            <v>98</v>
          </cell>
          <cell r="T81">
            <v>6</v>
          </cell>
          <cell r="U81">
            <v>0</v>
          </cell>
          <cell r="V81">
            <v>0</v>
          </cell>
          <cell r="W81">
            <v>379.68901281017651</v>
          </cell>
        </row>
        <row r="82">
          <cell r="B82">
            <v>304</v>
          </cell>
          <cell r="C82">
            <v>71</v>
          </cell>
          <cell r="D82" t="str">
            <v>4500095730</v>
          </cell>
          <cell r="E82" t="str">
            <v>304-TW-2-05</v>
          </cell>
          <cell r="F82">
            <v>2168</v>
          </cell>
          <cell r="G82" t="str">
            <v>Panawangan</v>
          </cell>
          <cell r="H82" t="str">
            <v>Jawa Barat</v>
          </cell>
          <cell r="I82" t="str">
            <v>71m Light</v>
          </cell>
          <cell r="J82">
            <v>13393.87</v>
          </cell>
          <cell r="K82">
            <v>568.52999999999884</v>
          </cell>
          <cell r="L82">
            <v>13962.4</v>
          </cell>
          <cell r="M82">
            <v>176973420</v>
          </cell>
          <cell r="N82">
            <v>3.5</v>
          </cell>
          <cell r="O82">
            <v>6</v>
          </cell>
          <cell r="P82">
            <v>0.45569000268744958</v>
          </cell>
          <cell r="Q82">
            <v>0.37372917226551999</v>
          </cell>
          <cell r="R82">
            <v>0.30838484278419787</v>
          </cell>
          <cell r="S82">
            <v>98</v>
          </cell>
          <cell r="T82">
            <v>3</v>
          </cell>
          <cell r="U82">
            <v>3</v>
          </cell>
          <cell r="V82">
            <v>0</v>
          </cell>
          <cell r="W82">
            <v>379.68901281017651</v>
          </cell>
        </row>
        <row r="83">
          <cell r="B83">
            <v>305</v>
          </cell>
          <cell r="C83">
            <v>72</v>
          </cell>
          <cell r="D83">
            <v>4500095737</v>
          </cell>
          <cell r="E83" t="str">
            <v>305-TW-2-05</v>
          </cell>
          <cell r="F83">
            <v>2161</v>
          </cell>
          <cell r="G83" t="str">
            <v>Pesawahan Purwakarta</v>
          </cell>
          <cell r="H83" t="str">
            <v>Jawa Barat</v>
          </cell>
          <cell r="I83" t="str">
            <v>71m Light</v>
          </cell>
          <cell r="J83">
            <v>13393.87</v>
          </cell>
          <cell r="K83">
            <v>612.83999999999833</v>
          </cell>
          <cell r="L83">
            <v>14006.71</v>
          </cell>
          <cell r="M83">
            <v>177535049.25</v>
          </cell>
          <cell r="N83">
            <v>3.5</v>
          </cell>
          <cell r="O83">
            <v>6</v>
          </cell>
          <cell r="P83">
            <v>0.43657014243482933</v>
          </cell>
          <cell r="Q83">
            <v>0.37372917226551999</v>
          </cell>
          <cell r="R83">
            <v>0.30838484278419787</v>
          </cell>
          <cell r="S83">
            <v>98</v>
          </cell>
          <cell r="T83">
            <v>6</v>
          </cell>
          <cell r="U83">
            <v>0</v>
          </cell>
          <cell r="V83">
            <v>0</v>
          </cell>
          <cell r="W83">
            <v>377.30965242318376</v>
          </cell>
        </row>
        <row r="84">
          <cell r="B84">
            <v>306</v>
          </cell>
          <cell r="C84">
            <v>73</v>
          </cell>
          <cell r="D84" t="str">
            <v>4500096011</v>
          </cell>
          <cell r="E84" t="str">
            <v>306-TW-2-05</v>
          </cell>
          <cell r="F84">
            <v>2472</v>
          </cell>
          <cell r="G84" t="str">
            <v>Tasikmadu</v>
          </cell>
          <cell r="H84" t="str">
            <v>Jawa Tengah</v>
          </cell>
          <cell r="I84" t="str">
            <v>51m Light</v>
          </cell>
          <cell r="J84">
            <v>7175.65</v>
          </cell>
          <cell r="K84">
            <v>564.76</v>
          </cell>
          <cell r="L84">
            <v>7740.41</v>
          </cell>
          <cell r="M84">
            <v>98109696.75</v>
          </cell>
          <cell r="N84">
            <v>3.5</v>
          </cell>
          <cell r="O84">
            <v>6</v>
          </cell>
          <cell r="P84">
            <v>0.43488309594195118</v>
          </cell>
          <cell r="Q84">
            <v>0.37372917226551999</v>
          </cell>
          <cell r="R84">
            <v>0.30838484278419787</v>
          </cell>
          <cell r="S84">
            <v>104</v>
          </cell>
          <cell r="T84">
            <v>0</v>
          </cell>
          <cell r="U84">
            <v>0</v>
          </cell>
          <cell r="V84">
            <v>0</v>
          </cell>
          <cell r="W84">
            <v>377.09970885962559</v>
          </cell>
        </row>
        <row r="85">
          <cell r="B85">
            <v>307</v>
          </cell>
          <cell r="C85">
            <v>74</v>
          </cell>
          <cell r="D85" t="str">
            <v>4500096062</v>
          </cell>
          <cell r="E85" t="str">
            <v>307-TW-2-05</v>
          </cell>
          <cell r="F85" t="str">
            <v>M2183</v>
          </cell>
          <cell r="G85" t="str">
            <v>Karang Anyar</v>
          </cell>
          <cell r="H85" t="str">
            <v>Jawa Barat</v>
          </cell>
          <cell r="I85" t="str">
            <v>71m Light</v>
          </cell>
          <cell r="J85">
            <v>13393.87</v>
          </cell>
          <cell r="K85">
            <v>149.92999999999847</v>
          </cell>
          <cell r="L85">
            <v>13543.8</v>
          </cell>
          <cell r="M85">
            <v>171667665</v>
          </cell>
          <cell r="N85">
            <v>0.5</v>
          </cell>
          <cell r="O85">
            <v>0</v>
          </cell>
          <cell r="P85">
            <v>6.6544611663531317E-2</v>
          </cell>
          <cell r="Q85">
            <v>4.7240325181402851E-2</v>
          </cell>
          <cell r="R85">
            <v>0</v>
          </cell>
          <cell r="S85">
            <v>8</v>
          </cell>
          <cell r="T85">
            <v>0</v>
          </cell>
          <cell r="U85">
            <v>0</v>
          </cell>
          <cell r="V85">
            <v>0</v>
          </cell>
          <cell r="W85">
            <v>38.853499059392639</v>
          </cell>
        </row>
        <row r="86">
          <cell r="B86">
            <v>308</v>
          </cell>
          <cell r="C86">
            <v>75</v>
          </cell>
          <cell r="D86" t="str">
            <v>4500096071</v>
          </cell>
          <cell r="E86" t="str">
            <v>308-TW-2-05</v>
          </cell>
          <cell r="F86">
            <v>2169</v>
          </cell>
          <cell r="G86" t="str">
            <v>Panjalu</v>
          </cell>
          <cell r="H86" t="str">
            <v>Jawa Barat</v>
          </cell>
          <cell r="I86" t="str">
            <v>71m Light</v>
          </cell>
          <cell r="J86">
            <v>13393.87</v>
          </cell>
          <cell r="K86">
            <v>436.02999999999884</v>
          </cell>
          <cell r="L86">
            <v>13829.9</v>
          </cell>
          <cell r="M86">
            <v>175293982.5</v>
          </cell>
          <cell r="N86">
            <v>2.5</v>
          </cell>
          <cell r="O86">
            <v>4</v>
          </cell>
          <cell r="P86">
            <v>0.33272305831765658</v>
          </cell>
          <cell r="Q86">
            <v>0.26489955657081432</v>
          </cell>
          <cell r="R86">
            <v>0.20558989518946522</v>
          </cell>
          <cell r="S86">
            <v>66</v>
          </cell>
          <cell r="T86">
            <v>6</v>
          </cell>
          <cell r="U86">
            <v>0</v>
          </cell>
          <cell r="V86">
            <v>0</v>
          </cell>
          <cell r="W86">
            <v>266.91694914748132</v>
          </cell>
        </row>
        <row r="87">
          <cell r="B87">
            <v>309</v>
          </cell>
          <cell r="C87">
            <v>76</v>
          </cell>
          <cell r="D87" t="str">
            <v>4500096069</v>
          </cell>
          <cell r="E87" t="str">
            <v>309-TW-2-05</v>
          </cell>
          <cell r="F87">
            <v>2171</v>
          </cell>
          <cell r="G87" t="str">
            <v>Beber Kuningan</v>
          </cell>
          <cell r="H87" t="str">
            <v>Jawa Barat</v>
          </cell>
          <cell r="I87" t="str">
            <v>51m Light</v>
          </cell>
          <cell r="J87">
            <v>7175.65</v>
          </cell>
          <cell r="K87">
            <v>433.48</v>
          </cell>
          <cell r="L87">
            <v>7609.13</v>
          </cell>
          <cell r="M87">
            <v>96445722.75</v>
          </cell>
          <cell r="N87">
            <v>3</v>
          </cell>
          <cell r="O87">
            <v>4</v>
          </cell>
          <cell r="P87">
            <v>0.37002553077129802</v>
          </cell>
          <cell r="Q87">
            <v>0.31213988175221713</v>
          </cell>
          <cell r="R87">
            <v>0.20558989518946522</v>
          </cell>
          <cell r="S87">
            <v>80</v>
          </cell>
          <cell r="T87">
            <v>0</v>
          </cell>
          <cell r="U87">
            <v>0</v>
          </cell>
          <cell r="V87">
            <v>0</v>
          </cell>
          <cell r="W87">
            <v>302.13142643853206</v>
          </cell>
        </row>
        <row r="88">
          <cell r="B88">
            <v>310</v>
          </cell>
          <cell r="C88">
            <v>77</v>
          </cell>
          <cell r="D88" t="str">
            <v>4500097082</v>
          </cell>
          <cell r="E88" t="str">
            <v>310-TW-2-05</v>
          </cell>
          <cell r="F88" t="str">
            <v>C412A</v>
          </cell>
          <cell r="G88" t="str">
            <v>Beduai Kota</v>
          </cell>
          <cell r="H88" t="str">
            <v>Kalimantan Barat</v>
          </cell>
          <cell r="I88" t="str">
            <v>71m Light</v>
          </cell>
          <cell r="J88">
            <v>13393.87</v>
          </cell>
          <cell r="K88">
            <v>435.05999999999949</v>
          </cell>
          <cell r="L88">
            <v>13828.93</v>
          </cell>
          <cell r="M88">
            <v>175281687.75</v>
          </cell>
          <cell r="N88">
            <v>2.5</v>
          </cell>
          <cell r="O88">
            <v>4</v>
          </cell>
          <cell r="P88">
            <v>0.4508163128191347</v>
          </cell>
          <cell r="Q88">
            <v>0.35938020693361999</v>
          </cell>
          <cell r="R88">
            <v>0.20558989518946522</v>
          </cell>
          <cell r="S88">
            <v>88</v>
          </cell>
          <cell r="T88">
            <v>0</v>
          </cell>
          <cell r="U88">
            <v>0</v>
          </cell>
          <cell r="V88">
            <v>0</v>
          </cell>
          <cell r="W88">
            <v>297.31778225686048</v>
          </cell>
        </row>
        <row r="89">
          <cell r="B89">
            <v>322</v>
          </cell>
          <cell r="C89">
            <v>78</v>
          </cell>
          <cell r="D89" t="str">
            <v>4500098289</v>
          </cell>
          <cell r="E89" t="str">
            <v>322-TW-2-05</v>
          </cell>
          <cell r="F89" t="str">
            <v>3960B</v>
          </cell>
          <cell r="G89" t="str">
            <v>Tanjung Redep Kota</v>
          </cell>
          <cell r="H89" t="str">
            <v>Kalimantan Timur</v>
          </cell>
          <cell r="I89" t="str">
            <v>71m Light</v>
          </cell>
          <cell r="J89">
            <v>13393.87</v>
          </cell>
          <cell r="K89">
            <v>348.98999999999978</v>
          </cell>
          <cell r="L89">
            <v>13742.86</v>
          </cell>
          <cell r="M89">
            <v>174190750.5</v>
          </cell>
          <cell r="N89">
            <v>3.5</v>
          </cell>
          <cell r="O89">
            <v>4</v>
          </cell>
          <cell r="P89">
            <v>0.45569000268744958</v>
          </cell>
          <cell r="Q89">
            <v>0.35938020693361999</v>
          </cell>
          <cell r="R89">
            <v>0.20558989518946522</v>
          </cell>
          <cell r="S89">
            <v>82</v>
          </cell>
          <cell r="T89">
            <v>6</v>
          </cell>
          <cell r="U89">
            <v>0</v>
          </cell>
          <cell r="V89">
            <v>0</v>
          </cell>
          <cell r="W89">
            <v>343.36428588491748</v>
          </cell>
        </row>
        <row r="90">
          <cell r="B90">
            <v>329</v>
          </cell>
          <cell r="D90" t="str">
            <v>4500099278</v>
          </cell>
          <cell r="E90" t="str">
            <v>329-TW-2-05</v>
          </cell>
          <cell r="F90" t="str">
            <v>C403</v>
          </cell>
          <cell r="G90" t="str">
            <v>Ketapang</v>
          </cell>
          <cell r="H90" t="str">
            <v>Kalimantan Barat</v>
          </cell>
          <cell r="I90" t="str">
            <v>71m Light</v>
          </cell>
          <cell r="J90">
            <v>13393.87</v>
          </cell>
          <cell r="K90">
            <v>586.88999999999942</v>
          </cell>
          <cell r="L90">
            <v>13980.76</v>
          </cell>
          <cell r="M90">
            <v>177206133</v>
          </cell>
          <cell r="N90">
            <v>4.5</v>
          </cell>
          <cell r="O90">
            <v>6</v>
          </cell>
          <cell r="P90">
            <v>0.58877922601451227</v>
          </cell>
          <cell r="Q90">
            <v>0.49224570008062352</v>
          </cell>
          <cell r="R90">
            <v>0.30838484278419787</v>
          </cell>
          <cell r="S90">
            <v>102</v>
          </cell>
          <cell r="T90">
            <v>3</v>
          </cell>
          <cell r="U90">
            <v>3</v>
          </cell>
          <cell r="V90">
            <v>12</v>
          </cell>
          <cell r="W90">
            <v>461.39130789214374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-ME"/>
      <sheetName val="Plumbing"/>
      <sheetName val="AC&amp;Lift"/>
      <sheetName val="Plumbing+AC&amp;Lift"/>
      <sheetName val="Rekap_ME"/>
      <sheetName val="Lampiran MTO"/>
      <sheetName val="Material Mounting"/>
      <sheetName val="Internal Summary"/>
      <sheetName val="Lampiran_MTO"/>
      <sheetName val="Material_Mounting"/>
      <sheetName val="Internal_Summary"/>
      <sheetName val="Ladder"/>
      <sheetName val="Daf 1 Prelim"/>
      <sheetName val="Lampiran_MTO1"/>
      <sheetName val="Material_Mounting1"/>
      <sheetName val="Internal_Summary1"/>
      <sheetName val="MNR6"/>
      <sheetName val="BILL"/>
    </sheetNames>
    <sheetDataSet>
      <sheetData sheetId="0" refreshError="1">
        <row r="1">
          <cell r="H1">
            <v>1.265761660818072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/>
      <sheetData sheetId="14"/>
      <sheetData sheetId="15"/>
      <sheetData sheetId="16" refreshError="1"/>
      <sheetData sheetId="17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SS"/>
      <sheetName val="not used"/>
      <sheetName val="NE_SAP"/>
      <sheetName val="NE_SAP_Pos"/>
      <sheetName val="Factors"/>
      <sheetName val="CountryCodes"/>
      <sheetName val="Makro_Price_Format"/>
      <sheetName val="Makro_Insert"/>
      <sheetName val="Makro_Delete"/>
      <sheetName val="Help_Cells"/>
      <sheetName val="IF_Data"/>
      <sheetName val="Makro_Start"/>
      <sheetName val="Makro_Price"/>
      <sheetName val="Makro_End"/>
      <sheetName val="Tabelle"/>
      <sheetName val="BOM"/>
      <sheetName val="Rekap-ME"/>
      <sheetName val="TP_DATABASE"/>
      <sheetName val="Internal Summary"/>
      <sheetName val="not_used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B5" t="str">
            <v>Telkomsel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Primer01"/>
      <sheetName val="Primer02"/>
      <sheetName val="RAZ"/>
      <sheetName val="RAH"/>
      <sheetName val="RAL"/>
      <sheetName val="RAX"/>
      <sheetName val="RAG"/>
      <sheetName val="RBA"/>
      <sheetName val="RBL"/>
      <sheetName val="RBC"/>
      <sheetName val="RAU"/>
      <sheetName val="RBH"/>
      <sheetName val="RBY"/>
      <sheetName val="RAN"/>
      <sheetName val="RBB"/>
      <sheetName val="RV"/>
      <sheetName val="RBF"/>
      <sheetName val="RBK"/>
      <sheetName val="RAF"/>
      <sheetName val="RBN"/>
      <sheetName val="Allowance"/>
      <sheetName val="Cho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9">
          <cell r="B9">
            <v>5</v>
          </cell>
        </row>
      </sheetData>
      <sheetData sheetId="22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RAFT_(61site) (2)"/>
      <sheetName val="DRAFT_(61site)"/>
      <sheetName val="Sheet3"/>
      <sheetName val="Validation"/>
      <sheetName val="Duration"/>
      <sheetName val="Sheet1"/>
    </sheetNames>
    <sheetDataSet>
      <sheetData sheetId="0"/>
      <sheetData sheetId="1"/>
      <sheetData sheetId="2"/>
      <sheetData sheetId="3"/>
      <sheetData sheetId="4">
        <row r="2">
          <cell r="G2" t="str">
            <v>PLN Connection 7,7 KVA 1 Phase</v>
          </cell>
        </row>
        <row r="3">
          <cell r="G3" t="str">
            <v>PLN Connection 10.6 KVA 1 Phase</v>
          </cell>
        </row>
        <row r="4">
          <cell r="G4" t="str">
            <v>PLN Connection 13.2 KVA 3 Phase</v>
          </cell>
        </row>
        <row r="5">
          <cell r="G5" t="str">
            <v>PLN Connection 16.5 KVA 3 Phase</v>
          </cell>
        </row>
        <row r="6">
          <cell r="G6" t="str">
            <v>PLN Connection 23 KVA 3 Phase</v>
          </cell>
        </row>
        <row r="7">
          <cell r="G7" t="str">
            <v>PLN Connection 33 KVA 3 Phase</v>
          </cell>
        </row>
        <row r="8">
          <cell r="G8" t="str">
            <v>Upgrade PLN Connection (Incl. BP, UJL, Upgrade Fee &amp; Accessories)</v>
          </cell>
        </row>
      </sheetData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AP BOLT"/>
      <sheetName val="asli"/>
      <sheetName val="Mat Tower"/>
      <sheetName val="Tower 61 Meter "/>
      <sheetName val="MTO"/>
      <sheetName val="RBO"/>
      <sheetName val="201"/>
      <sheetName val="AM-MARGIN"/>
      <sheetName val="BSC_UPGRADES"/>
      <sheetName val="REKAP_BOLT"/>
      <sheetName val="Mat_Tower"/>
      <sheetName val="Tower_61_Meter_"/>
      <sheetName val="Curr, Site Names, Flex conf"/>
      <sheetName val="AM_MARGIN"/>
      <sheetName val="PSPC_LE_Pnext_Current"/>
      <sheetName val="BILL"/>
      <sheetName val="REKAP_BOLT1"/>
      <sheetName val="Mat_Tower1"/>
      <sheetName val="Tower_61_Meter_1"/>
      <sheetName val="Curr,_Site_Names,_Flex_conf"/>
      <sheetName val="Master Site Kalimantan"/>
      <sheetName val="Sheet1"/>
      <sheetName val="Customize"/>
      <sheetName val="Validation"/>
      <sheetName val="regional SPC Groups"/>
      <sheetName val="PriceListAP"/>
      <sheetName val="MTO-TWR-61 Light-WO 201-Rawa In"/>
    </sheetNames>
    <sheetDataSet>
      <sheetData sheetId="0" refreshError="1"/>
      <sheetData sheetId="1" refreshError="1"/>
      <sheetData sheetId="2" refreshError="1"/>
      <sheetData sheetId="3" refreshError="1">
        <row r="14">
          <cell r="Y14" t="str">
            <v>Pipa dia. 33.7 mm, t 3.2 mm JIS G3444 STK400</v>
          </cell>
          <cell r="Z14" t="str">
            <v>Pipe D 33.7 t 3.2 mm</v>
          </cell>
          <cell r="AA14">
            <v>1.8120000000000001</v>
          </cell>
        </row>
        <row r="15">
          <cell r="Y15" t="str">
            <v>Pipa dia. 48.3 mm, t 3.2 mm JIS G3444 STK400</v>
          </cell>
          <cell r="Z15" t="str">
            <v>Pipe D 48.3 t 3.2 mm</v>
          </cell>
          <cell r="AA15">
            <v>1.4530000000000001</v>
          </cell>
        </row>
        <row r="16">
          <cell r="Y16" t="str">
            <v>Pipa dia. 88.9 mm, t 3.2 mm JIS G3444 STK400</v>
          </cell>
          <cell r="Z16" t="str">
            <v>Pipe D 88.9 t 3.2 mm</v>
          </cell>
          <cell r="AA16">
            <v>32.843999999999994</v>
          </cell>
        </row>
        <row r="17">
          <cell r="Y17" t="str">
            <v>Pipa dia. 114.3 mm, t 3.6 mm JIS G3444 STK400</v>
          </cell>
          <cell r="Z17" t="str">
            <v>Pipe D 114.3 t 3.6 mm</v>
          </cell>
          <cell r="AA17">
            <v>29.897999999999996</v>
          </cell>
        </row>
        <row r="18">
          <cell r="Y18" t="str">
            <v>Pipa dia. 141.3 mm, t 4.5 mm JIS G3444 STK400</v>
          </cell>
          <cell r="Z18" t="str">
            <v>Pipe D 141.3 t 4.5 mm</v>
          </cell>
          <cell r="AA18">
            <v>44.846999999999994</v>
          </cell>
        </row>
        <row r="19">
          <cell r="Y19" t="str">
            <v>Pipa dia. 168.3 mm, t 4.5 mm JIS G3444 STK400</v>
          </cell>
          <cell r="Z19" t="str">
            <v>Pipe D 168.3 t 4.5 mm</v>
          </cell>
          <cell r="AA19">
            <v>30.785999999999994</v>
          </cell>
        </row>
        <row r="20">
          <cell r="Y20" t="str">
            <v>Pipa dia. 190.7 mm, t 4.8 mm JIS G3444 STK400</v>
          </cell>
          <cell r="Z20" t="str">
            <v>Pipe D 190.7 t 4.8 mm</v>
          </cell>
          <cell r="AA20">
            <v>44.846999999999994</v>
          </cell>
        </row>
        <row r="21">
          <cell r="Y21" t="str">
            <v>L 40 x 40 x 4 mm</v>
          </cell>
          <cell r="Z21" t="str">
            <v>L 40x40x4</v>
          </cell>
          <cell r="AA21">
            <v>42.017000000000003</v>
          </cell>
        </row>
        <row r="22">
          <cell r="Y22" t="str">
            <v>L 50 x 50 x 5 mm</v>
          </cell>
          <cell r="Z22" t="str">
            <v>L 50x50x5</v>
          </cell>
          <cell r="AA22">
            <v>184.82100000000003</v>
          </cell>
        </row>
        <row r="23">
          <cell r="Y23" t="str">
            <v>L 60 x 60 x 6 mm</v>
          </cell>
          <cell r="Z23" t="str">
            <v>L 60x60x6</v>
          </cell>
          <cell r="AA23">
            <v>210.25200000000001</v>
          </cell>
        </row>
        <row r="24">
          <cell r="Y24" t="str">
            <v>L 70 x 70 x 7 mm</v>
          </cell>
          <cell r="Z24" t="str">
            <v>L 70x70x7</v>
          </cell>
          <cell r="AA24">
            <v>208.92300000000006</v>
          </cell>
        </row>
        <row r="25">
          <cell r="Y25" t="str">
            <v>L 80 x 80 x 8 mm</v>
          </cell>
          <cell r="Z25" t="str">
            <v>L 80x80x8</v>
          </cell>
          <cell r="AA25">
            <v>113.739</v>
          </cell>
        </row>
        <row r="26">
          <cell r="Y26" t="str">
            <v>Flat bars 4 x 40 mm</v>
          </cell>
          <cell r="Z26" t="str">
            <v>FB 4x40</v>
          </cell>
          <cell r="AA26">
            <v>8.7600000000000016</v>
          </cell>
        </row>
        <row r="27">
          <cell r="Y27" t="str">
            <v>Flat bars 5 x 50 mm</v>
          </cell>
          <cell r="Z27" t="str">
            <v>FB 5x50</v>
          </cell>
          <cell r="AA27">
            <v>61.248999999999995</v>
          </cell>
        </row>
        <row r="28">
          <cell r="Y28" t="str">
            <v>Flat bars 6 x 50 mm</v>
          </cell>
          <cell r="Z28" t="str">
            <v>FB 6x50</v>
          </cell>
          <cell r="AA28">
            <v>10.518000000000001</v>
          </cell>
        </row>
        <row r="29">
          <cell r="Y29" t="str">
            <v>Rod bars dia 19 mm</v>
          </cell>
          <cell r="Z29" t="str">
            <v>RB dia. 19 mm</v>
          </cell>
          <cell r="AA29">
            <v>82.32</v>
          </cell>
        </row>
        <row r="30">
          <cell r="Y30" t="str">
            <v>Rod bars dia 28 mm</v>
          </cell>
          <cell r="Z30" t="str">
            <v>RB dia. 27 mm</v>
          </cell>
          <cell r="AA30">
            <v>10.44</v>
          </cell>
        </row>
        <row r="31">
          <cell r="Y31" t="str">
            <v>Pelat M/s tebal 3 mm</v>
          </cell>
          <cell r="Z31" t="str">
            <v>PL t 3 mm</v>
          </cell>
          <cell r="AA31">
            <v>0.41707999999999995</v>
          </cell>
        </row>
        <row r="32">
          <cell r="Y32" t="str">
            <v>Pelat M/s tebal 4 mm</v>
          </cell>
          <cell r="Z32" t="str">
            <v>PL t 4 mm</v>
          </cell>
          <cell r="AA32">
            <v>2.6549999999999997E-2</v>
          </cell>
        </row>
        <row r="33">
          <cell r="Y33" t="str">
            <v>Pelat M/s tebal 6 mm</v>
          </cell>
          <cell r="Z33" t="str">
            <v>PL t 6 mm</v>
          </cell>
          <cell r="AA33">
            <v>0.67331900000000011</v>
          </cell>
        </row>
        <row r="34">
          <cell r="Y34" t="str">
            <v>Pelat M/s tebal 8 mm</v>
          </cell>
          <cell r="Z34" t="str">
            <v>PL t 8 mm</v>
          </cell>
          <cell r="AA34">
            <v>7.275307999999999</v>
          </cell>
        </row>
        <row r="35">
          <cell r="Y35" t="str">
            <v>Pelat M/s tebal 10 mm</v>
          </cell>
          <cell r="Z35" t="str">
            <v>PL t 10 mm</v>
          </cell>
          <cell r="AA35">
            <v>0.20091599999999998</v>
          </cell>
        </row>
        <row r="36">
          <cell r="Y36" t="str">
            <v>Pelat M/s tebal 20 mm</v>
          </cell>
          <cell r="Z36" t="str">
            <v>PL t 20 mm</v>
          </cell>
          <cell r="AA36">
            <v>0.50429999999999997</v>
          </cell>
        </row>
        <row r="37">
          <cell r="Y37" t="str">
            <v>Pelat M/s tebal 25 mm</v>
          </cell>
          <cell r="Z37" t="str">
            <v>PL t 25 mm</v>
          </cell>
          <cell r="AA37">
            <v>0.5292</v>
          </cell>
        </row>
        <row r="38">
          <cell r="Y38" t="str">
            <v>Pelat M/s tebal 28 mm</v>
          </cell>
          <cell r="Z38" t="str">
            <v>PL t 28 mm</v>
          </cell>
          <cell r="AA38">
            <v>0.63480000000000003</v>
          </cell>
        </row>
        <row r="39">
          <cell r="Y39" t="str">
            <v>Pelat M/s tebal 32 mm</v>
          </cell>
          <cell r="Z39" t="str">
            <v>PL t 32 mm</v>
          </cell>
          <cell r="AA39">
            <v>1.4112</v>
          </cell>
        </row>
        <row r="40">
          <cell r="Y40" t="str">
            <v>Pelat M/s tebal 35 mm</v>
          </cell>
          <cell r="Z40" t="str">
            <v>PL t 35 mm</v>
          </cell>
          <cell r="AA40">
            <v>1.1532</v>
          </cell>
        </row>
        <row r="41">
          <cell r="Y41" t="str">
            <v>Pelat M/s tebal 38 mm</v>
          </cell>
          <cell r="Z41" t="str">
            <v>PL t 38 mm</v>
          </cell>
          <cell r="AA41">
            <v>3.1035000000000004</v>
          </cell>
        </row>
        <row r="42">
          <cell r="Y42" t="str">
            <v>Pelat Expanded t 5 mm GR50080</v>
          </cell>
          <cell r="Z42" t="str">
            <v>EXP t 4 mm</v>
          </cell>
          <cell r="AA42">
            <v>2.3664520000000002</v>
          </cell>
        </row>
        <row r="43">
          <cell r="Y43" t="str">
            <v>Bolt and Nuts M10-35 mm</v>
          </cell>
          <cell r="Z43" t="str">
            <v>M 10 x 35</v>
          </cell>
          <cell r="AA43">
            <v>70</v>
          </cell>
        </row>
        <row r="44">
          <cell r="Y44" t="str">
            <v>Bolt and Nuts M12-35 mm</v>
          </cell>
          <cell r="Z44" t="str">
            <v>M 12 x 35</v>
          </cell>
          <cell r="AA44">
            <v>236</v>
          </cell>
        </row>
        <row r="45">
          <cell r="Y45" t="str">
            <v>Bolt and Nuts M12-40 mm</v>
          </cell>
          <cell r="Z45" t="str">
            <v>M 12 x 40</v>
          </cell>
          <cell r="AA45">
            <v>392</v>
          </cell>
        </row>
        <row r="46">
          <cell r="Y46" t="str">
            <v>Bolt and Nuts M12-45 mm</v>
          </cell>
          <cell r="Z46" t="str">
            <v>M 12 x 45</v>
          </cell>
          <cell r="AA46">
            <v>247</v>
          </cell>
        </row>
        <row r="47">
          <cell r="Y47" t="str">
            <v>Bolt and Nuts M16-45 mm</v>
          </cell>
          <cell r="Z47" t="str">
            <v>M 16 x 45</v>
          </cell>
          <cell r="AA47">
            <v>322</v>
          </cell>
        </row>
        <row r="48">
          <cell r="Y48" t="str">
            <v>Bolt and Nuts M16-50 mm</v>
          </cell>
          <cell r="Z48" t="str">
            <v>M 16 x 50</v>
          </cell>
          <cell r="AA48">
            <v>71</v>
          </cell>
        </row>
        <row r="49">
          <cell r="Y49" t="str">
            <v>Bolt and Nuts M16-55 mm</v>
          </cell>
          <cell r="Z49" t="str">
            <v>M 16 x 55</v>
          </cell>
          <cell r="AA49">
            <v>181</v>
          </cell>
        </row>
        <row r="50">
          <cell r="Y50" t="str">
            <v>Bolt and Nuts M16-80 mm</v>
          </cell>
          <cell r="Z50" t="str">
            <v>M 16 x 80</v>
          </cell>
          <cell r="AA50">
            <v>21</v>
          </cell>
        </row>
        <row r="51">
          <cell r="Y51" t="str">
            <v>Bolt and Nuts M16-85 mm</v>
          </cell>
          <cell r="Z51" t="str">
            <v>M 16 x 85</v>
          </cell>
          <cell r="AA51">
            <v>23</v>
          </cell>
        </row>
        <row r="52">
          <cell r="Y52" t="str">
            <v>Bolt and Nuts M20-100 mm</v>
          </cell>
          <cell r="Z52" t="str">
            <v>M 20 x 100</v>
          </cell>
          <cell r="AA52">
            <v>39</v>
          </cell>
        </row>
        <row r="53">
          <cell r="Y53" t="str">
            <v>Bolt and Nuts M20-110 mm</v>
          </cell>
          <cell r="Z53" t="str">
            <v>M 20 x 110</v>
          </cell>
          <cell r="AA53">
            <v>26</v>
          </cell>
        </row>
        <row r="54">
          <cell r="Y54" t="str">
            <v>Bolt and Nuts M27-120 mm</v>
          </cell>
          <cell r="Z54" t="str">
            <v>M 27 x 120</v>
          </cell>
          <cell r="AA54">
            <v>26</v>
          </cell>
        </row>
        <row r="55">
          <cell r="Y55" t="str">
            <v>U Bolt RB 16 x 383 mm</v>
          </cell>
          <cell r="Z55" t="str">
            <v>U Bolt RB 16 x 383</v>
          </cell>
          <cell r="AA55">
            <v>36</v>
          </cell>
        </row>
        <row r="56">
          <cell r="Y56" t="str">
            <v>U Bolt RB 16 x 429 mm</v>
          </cell>
          <cell r="Z56" t="str">
            <v>U Bolt RB 16 x 429</v>
          </cell>
          <cell r="AA56">
            <v>2</v>
          </cell>
        </row>
        <row r="57">
          <cell r="Y57" t="str">
            <v>Angkur dia. 27-870 mm c/w 5 mur + 2 ring plate + 2 ring per</v>
          </cell>
          <cell r="Z57" t="str">
            <v>Anchor  M 27x 870</v>
          </cell>
          <cell r="AA57">
            <v>12</v>
          </cell>
        </row>
        <row r="58">
          <cell r="Y58" t="str">
            <v>Wire Rope Kiswire dia. 9 mm (3/8"), kap. 7.12 Ton</v>
          </cell>
          <cell r="Z58" t="str">
            <v>Wire Rod Dia 9 mm</v>
          </cell>
          <cell r="AA58">
            <v>75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TAC 2004 Program"/>
      <sheetName val="Forecast"/>
      <sheetName val="EO Equipment 2004 Program"/>
      <sheetName val="Network Roll Out - EO"/>
      <sheetName val="Plan vs Roll Out - EO"/>
      <sheetName val="Network Roll Out - EO old"/>
      <sheetName val="EO Plan vs Roll Out Comparison"/>
      <sheetName val="Central Java TRX_Site"/>
      <sheetName val="Central Java Erlang"/>
      <sheetName val="Central Java Subs"/>
      <sheetName val="Justifikasi TM2 Part III"/>
      <sheetName val="Justification TM2 Part-IV"/>
      <sheetName val="Erl_Lookup"/>
      <sheetName val="EOY-04 Comparison"/>
      <sheetName val="Forecast2004-2005"/>
      <sheetName val="Customer Forecast 04-05"/>
      <sheetName val="Erlang Forecast 04-05"/>
      <sheetName val="2005 Requirement based '05 Subs"/>
      <sheetName val="2005 Requirement based '04 Plan"/>
      <sheetName val="2005 Requirement Summary"/>
      <sheetName val="Sites up to TM2"/>
      <sheetName val="TRXs up to TM2"/>
      <sheetName val="Erlang up to TM2"/>
      <sheetName val="Subs up to TM3"/>
      <sheetName val="Site&amp;TRX Comparison"/>
      <sheetName val="Erlang Comparison"/>
      <sheetName val="Equipment 2004 Program"/>
      <sheetName val="Network Roll Out"/>
      <sheetName val="Prices-table"/>
    </sheetNames>
    <sheetDataSet>
      <sheetData sheetId="0"/>
      <sheetData sheetId="1" refreshError="1">
        <row r="2">
          <cell r="C2" t="str">
            <v>January</v>
          </cell>
          <cell r="D2" t="str">
            <v>February</v>
          </cell>
          <cell r="E2" t="str">
            <v>March</v>
          </cell>
          <cell r="F2" t="str">
            <v>April</v>
          </cell>
          <cell r="G2" t="str">
            <v>May</v>
          </cell>
          <cell r="H2" t="str">
            <v>June</v>
          </cell>
          <cell r="I2" t="str">
            <v>July</v>
          </cell>
          <cell r="J2" t="str">
            <v>August</v>
          </cell>
          <cell r="K2" t="str">
            <v>September</v>
          </cell>
          <cell r="L2" t="str">
            <v>October</v>
          </cell>
          <cell r="M2" t="str">
            <v>November</v>
          </cell>
          <cell r="N2" t="str">
            <v>December</v>
          </cell>
        </row>
        <row r="3">
          <cell r="C3">
            <v>569652</v>
          </cell>
          <cell r="D3">
            <v>626311</v>
          </cell>
          <cell r="E3">
            <v>694486</v>
          </cell>
          <cell r="F3">
            <v>757436</v>
          </cell>
          <cell r="G3">
            <v>817733</v>
          </cell>
          <cell r="H3">
            <v>857320</v>
          </cell>
          <cell r="I3">
            <v>882030</v>
          </cell>
          <cell r="J3">
            <v>901279</v>
          </cell>
          <cell r="K3">
            <v>928372</v>
          </cell>
          <cell r="L3">
            <v>943317</v>
          </cell>
          <cell r="M3">
            <v>952629</v>
          </cell>
          <cell r="N3">
            <v>963649</v>
          </cell>
        </row>
        <row r="4">
          <cell r="C4">
            <v>1031826</v>
          </cell>
          <cell r="D4">
            <v>1097613</v>
          </cell>
          <cell r="E4">
            <v>1178784</v>
          </cell>
          <cell r="F4">
            <v>1254747</v>
          </cell>
          <cell r="G4">
            <v>1328296</v>
          </cell>
          <cell r="H4">
            <v>1377478</v>
          </cell>
          <cell r="I4">
            <v>1408911</v>
          </cell>
          <cell r="J4">
            <v>1433925</v>
          </cell>
          <cell r="K4">
            <v>1468802</v>
          </cell>
          <cell r="L4">
            <v>1489252</v>
          </cell>
          <cell r="M4">
            <v>1502984</v>
          </cell>
          <cell r="N4">
            <v>1518890</v>
          </cell>
        </row>
        <row r="5">
          <cell r="C5">
            <v>1250694</v>
          </cell>
          <cell r="D5">
            <v>1315781</v>
          </cell>
          <cell r="E5">
            <v>1396614</v>
          </cell>
          <cell r="F5">
            <v>1472155</v>
          </cell>
          <cell r="G5">
            <v>1545917</v>
          </cell>
          <cell r="H5">
            <v>1594095</v>
          </cell>
          <cell r="I5">
            <v>1624094</v>
          </cell>
          <cell r="J5">
            <v>1647675</v>
          </cell>
          <cell r="K5">
            <v>1681779</v>
          </cell>
          <cell r="L5">
            <v>1700547</v>
          </cell>
          <cell r="M5">
            <v>1712331</v>
          </cell>
          <cell r="N5">
            <v>1726440</v>
          </cell>
        </row>
        <row r="6">
          <cell r="C6">
            <v>417394</v>
          </cell>
          <cell r="D6">
            <v>447847</v>
          </cell>
          <cell r="E6">
            <v>485175</v>
          </cell>
          <cell r="F6">
            <v>519732</v>
          </cell>
          <cell r="G6">
            <v>553037</v>
          </cell>
          <cell r="H6">
            <v>574473</v>
          </cell>
          <cell r="I6">
            <v>587433</v>
          </cell>
          <cell r="J6">
            <v>597356</v>
          </cell>
          <cell r="K6">
            <v>611956</v>
          </cell>
          <cell r="L6">
            <v>619559</v>
          </cell>
          <cell r="M6">
            <v>623959</v>
          </cell>
          <cell r="N6">
            <v>629440</v>
          </cell>
        </row>
        <row r="7">
          <cell r="C7">
            <v>687634</v>
          </cell>
          <cell r="D7">
            <v>751297</v>
          </cell>
          <cell r="E7">
            <v>828254</v>
          </cell>
          <cell r="F7">
            <v>899306</v>
          </cell>
          <cell r="G7">
            <v>967471</v>
          </cell>
          <cell r="H7">
            <v>1011847</v>
          </cell>
          <cell r="I7">
            <v>1039199</v>
          </cell>
          <cell r="J7">
            <v>1060423</v>
          </cell>
          <cell r="K7">
            <v>1090609</v>
          </cell>
          <cell r="L7">
            <v>1106883</v>
          </cell>
          <cell r="M7">
            <v>1116715</v>
          </cell>
          <cell r="N7">
            <v>1128559</v>
          </cell>
        </row>
      </sheetData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"/>
      <sheetName val="1000"/>
      <sheetName val="ELEKTRIKAL"/>
      <sheetName val="REKAP"/>
      <sheetName val="AC"/>
      <sheetName val="Plumbing"/>
      <sheetName val="Dafmat"/>
      <sheetName val="Pompa"/>
      <sheetName val="Ven Fan"/>
      <sheetName val="Ana Duct"/>
      <sheetName val="Hsd Duct"/>
      <sheetName val="Pipe"/>
      <sheetName val="Grille"/>
      <sheetName val="valve-20k"/>
      <sheetName val="valve-10k"/>
      <sheetName val="US indoor vs macro outdoor"/>
      <sheetName val="Ven_Fan"/>
      <sheetName val="Ana_Duct"/>
      <sheetName val="Hsd_Duct"/>
      <sheetName val="US_indoor_vs_macro_outdoor"/>
      <sheetName val="Mat Tower"/>
      <sheetName val="Validation"/>
      <sheetName val="Factors"/>
      <sheetName val="Upgrade BOQ"/>
      <sheetName val="Ven_Fan1"/>
      <sheetName val="Ana_Duct1"/>
      <sheetName val="Hsd_Duct1"/>
      <sheetName val="US_indoor_vs_macro_outdoor1"/>
      <sheetName val="Mat_Tower"/>
      <sheetName val="ref"/>
      <sheetName val="Traffic_KBps"/>
      <sheetName val="FOREX"/>
      <sheetName val="Problem Class"/>
      <sheetName val="HEADER"/>
      <sheetName val="Coeff"/>
      <sheetName val="2006-04-28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13">
          <cell r="C13" t="str">
            <v xml:space="preserve">Chilled Water Pipe </v>
          </cell>
        </row>
        <row r="14">
          <cell r="C14" t="str">
            <v>Material      :  Galvanized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E17">
            <v>1</v>
          </cell>
          <cell r="G17">
            <v>6880</v>
          </cell>
          <cell r="I17">
            <v>1870</v>
          </cell>
        </row>
        <row r="18">
          <cell r="A18">
            <v>0.75</v>
          </cell>
          <cell r="C18">
            <v>20</v>
          </cell>
          <cell r="E18">
            <v>1</v>
          </cell>
          <cell r="G18">
            <v>3360</v>
          </cell>
          <cell r="I18">
            <v>1980</v>
          </cell>
        </row>
        <row r="19">
          <cell r="A19">
            <v>1</v>
          </cell>
          <cell r="C19">
            <v>25</v>
          </cell>
          <cell r="E19">
            <v>1</v>
          </cell>
          <cell r="G19">
            <v>13370</v>
          </cell>
          <cell r="I19">
            <v>2020</v>
          </cell>
        </row>
        <row r="20">
          <cell r="A20">
            <v>1.25</v>
          </cell>
          <cell r="C20">
            <v>32</v>
          </cell>
          <cell r="E20">
            <v>1</v>
          </cell>
          <cell r="G20">
            <v>17550</v>
          </cell>
          <cell r="I20">
            <v>2050</v>
          </cell>
        </row>
        <row r="21">
          <cell r="A21">
            <v>1.5</v>
          </cell>
          <cell r="C21">
            <v>40</v>
          </cell>
          <cell r="E21">
            <v>1.25</v>
          </cell>
          <cell r="G21">
            <v>19860</v>
          </cell>
          <cell r="I21">
            <v>2090</v>
          </cell>
        </row>
        <row r="22">
          <cell r="A22">
            <v>2</v>
          </cell>
          <cell r="C22">
            <v>50</v>
          </cell>
          <cell r="E22">
            <v>1.25</v>
          </cell>
          <cell r="G22">
            <v>28990</v>
          </cell>
          <cell r="I22">
            <v>2140</v>
          </cell>
        </row>
        <row r="23">
          <cell r="A23">
            <v>2.5</v>
          </cell>
          <cell r="C23">
            <v>65</v>
          </cell>
          <cell r="E23">
            <v>1.25</v>
          </cell>
          <cell r="G23">
            <v>35590</v>
          </cell>
          <cell r="I23">
            <v>2260</v>
          </cell>
        </row>
        <row r="24">
          <cell r="A24">
            <v>3</v>
          </cell>
          <cell r="C24">
            <v>80</v>
          </cell>
          <cell r="E24">
            <v>1.25</v>
          </cell>
          <cell r="G24">
            <v>46750</v>
          </cell>
          <cell r="I24">
            <v>3420</v>
          </cell>
        </row>
        <row r="25">
          <cell r="A25">
            <v>4</v>
          </cell>
          <cell r="C25">
            <v>100</v>
          </cell>
          <cell r="E25">
            <v>1.25</v>
          </cell>
          <cell r="G25">
            <v>66940</v>
          </cell>
          <cell r="I25">
            <v>3530</v>
          </cell>
        </row>
        <row r="26">
          <cell r="A26">
            <v>5</v>
          </cell>
          <cell r="C26">
            <v>125</v>
          </cell>
          <cell r="E26">
            <v>1.25</v>
          </cell>
          <cell r="G26">
            <v>83380</v>
          </cell>
          <cell r="I26">
            <v>4050</v>
          </cell>
        </row>
        <row r="27">
          <cell r="A27">
            <v>6</v>
          </cell>
          <cell r="C27">
            <v>150</v>
          </cell>
          <cell r="E27">
            <v>1.5</v>
          </cell>
          <cell r="G27">
            <v>98950</v>
          </cell>
          <cell r="I27">
            <v>4180</v>
          </cell>
        </row>
        <row r="28">
          <cell r="A28">
            <v>8</v>
          </cell>
          <cell r="C28">
            <v>200</v>
          </cell>
          <cell r="E28">
            <v>1.5</v>
          </cell>
          <cell r="G28">
            <v>189970</v>
          </cell>
          <cell r="I28">
            <v>4440</v>
          </cell>
        </row>
        <row r="29">
          <cell r="A29">
            <v>10</v>
          </cell>
          <cell r="C29">
            <v>250</v>
          </cell>
          <cell r="E29">
            <v>1.5</v>
          </cell>
          <cell r="G29">
            <v>238100</v>
          </cell>
          <cell r="I29">
            <v>4700</v>
          </cell>
        </row>
        <row r="30">
          <cell r="A30">
            <v>12</v>
          </cell>
          <cell r="C30">
            <v>300</v>
          </cell>
          <cell r="E30">
            <v>1.5</v>
          </cell>
          <cell r="G30">
            <v>283420</v>
          </cell>
          <cell r="I30">
            <v>4960</v>
          </cell>
        </row>
        <row r="31">
          <cell r="A31">
            <v>14</v>
          </cell>
          <cell r="C31">
            <v>350</v>
          </cell>
          <cell r="E31">
            <v>1.5</v>
          </cell>
          <cell r="G31">
            <v>315920</v>
          </cell>
          <cell r="I31">
            <v>4960</v>
          </cell>
        </row>
        <row r="32">
          <cell r="A32">
            <v>16</v>
          </cell>
          <cell r="B32">
            <v>16</v>
          </cell>
          <cell r="C32">
            <v>400</v>
          </cell>
          <cell r="E32">
            <v>1.5</v>
          </cell>
          <cell r="G32">
            <v>361900</v>
          </cell>
          <cell r="I32">
            <v>4960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k-fbhk"/>
      <sheetName val="rek-fitAB"/>
      <sheetName val="rek-hbk"/>
      <sheetName val="rek-val"/>
      <sheetName val="bq-kt"/>
      <sheetName val="bq-ktsa"/>
      <sheetName val="bq-ktf"/>
      <sheetName val="bq-kthk"/>
      <sheetName val="bq-ktc"/>
      <sheetName val="bq-kth"/>
      <sheetName val="bq-ktv"/>
      <sheetName val="rek-san1"/>
      <sheetName val="rek-hot"/>
      <sheetName val="rek-fitPP "/>
      <sheetName val="A"/>
      <sheetName val="Pipe"/>
      <sheetName val="valve"/>
      <sheetName val="Dafmat"/>
      <sheetName val="Fitting"/>
      <sheetName val="bq-pl"/>
      <sheetName val="US indoor vs macro outdoor"/>
      <sheetName val="rek-fitPP_"/>
      <sheetName val="US_indoor_vs_macro_outdoor"/>
      <sheetName val="DataValidation"/>
      <sheetName val="rek-fitPP_1"/>
      <sheetName val="US_indoor_vs_macro_outdoor1"/>
      <sheetName val="Factors"/>
      <sheetName val="Risk Register"/>
      <sheetName val="2.3 Grand Summar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13">
          <cell r="C13" t="str">
            <v>Cold Water Pipe</v>
          </cell>
        </row>
        <row r="14">
          <cell r="C14" t="str">
            <v>Material      :  Galvanized Pipe  Medium Class</v>
          </cell>
        </row>
        <row r="15">
          <cell r="C15" t="str">
            <v>Standard    :  BS 1387</v>
          </cell>
        </row>
        <row r="17">
          <cell r="A17">
            <v>0.5</v>
          </cell>
          <cell r="C17">
            <v>15</v>
          </cell>
          <cell r="G17">
            <v>6200</v>
          </cell>
          <cell r="I17">
            <v>1790</v>
          </cell>
        </row>
        <row r="18">
          <cell r="A18">
            <v>0.75</v>
          </cell>
          <cell r="C18">
            <v>20</v>
          </cell>
          <cell r="G18">
            <v>7980</v>
          </cell>
          <cell r="I18">
            <v>1890</v>
          </cell>
        </row>
        <row r="19">
          <cell r="A19">
            <v>1</v>
          </cell>
          <cell r="C19">
            <v>25</v>
          </cell>
          <cell r="G19">
            <v>12390</v>
          </cell>
          <cell r="I19">
            <v>1930</v>
          </cell>
        </row>
        <row r="20">
          <cell r="A20">
            <v>1.25</v>
          </cell>
          <cell r="C20">
            <v>32</v>
          </cell>
          <cell r="G20">
            <v>16850</v>
          </cell>
          <cell r="I20">
            <v>1960</v>
          </cell>
        </row>
        <row r="21">
          <cell r="A21">
            <v>1.5</v>
          </cell>
          <cell r="C21">
            <v>40</v>
          </cell>
          <cell r="G21">
            <v>17900</v>
          </cell>
          <cell r="I21">
            <v>2000</v>
          </cell>
        </row>
        <row r="22">
          <cell r="A22">
            <v>2</v>
          </cell>
          <cell r="C22">
            <v>50</v>
          </cell>
          <cell r="G22">
            <v>25150</v>
          </cell>
          <cell r="I22">
            <v>2040</v>
          </cell>
        </row>
        <row r="23">
          <cell r="A23">
            <v>2.5</v>
          </cell>
          <cell r="C23">
            <v>65</v>
          </cell>
          <cell r="G23">
            <v>32030</v>
          </cell>
          <cell r="I23">
            <v>2160</v>
          </cell>
        </row>
        <row r="24">
          <cell r="A24">
            <v>3</v>
          </cell>
          <cell r="C24">
            <v>80</v>
          </cell>
          <cell r="G24">
            <v>42050</v>
          </cell>
          <cell r="I24">
            <v>3270</v>
          </cell>
        </row>
        <row r="25">
          <cell r="A25">
            <v>4</v>
          </cell>
          <cell r="C25">
            <v>100</v>
          </cell>
          <cell r="G25">
            <v>60270</v>
          </cell>
          <cell r="I25">
            <v>3370</v>
          </cell>
        </row>
        <row r="26">
          <cell r="A26">
            <v>5</v>
          </cell>
          <cell r="C26">
            <v>125</v>
          </cell>
          <cell r="G26">
            <v>79590</v>
          </cell>
          <cell r="I26">
            <v>3860</v>
          </cell>
        </row>
        <row r="27">
          <cell r="A27">
            <v>6</v>
          </cell>
          <cell r="C27">
            <v>150</v>
          </cell>
          <cell r="G27">
            <v>94450</v>
          </cell>
          <cell r="I27">
            <v>3990</v>
          </cell>
        </row>
        <row r="28">
          <cell r="A28">
            <v>8</v>
          </cell>
          <cell r="C28">
            <v>200</v>
          </cell>
          <cell r="G28">
            <v>181340</v>
          </cell>
          <cell r="I28">
            <v>4240</v>
          </cell>
        </row>
        <row r="29">
          <cell r="A29">
            <v>10</v>
          </cell>
          <cell r="C29">
            <v>250</v>
          </cell>
          <cell r="G29">
            <v>227270</v>
          </cell>
          <cell r="I29">
            <v>4490</v>
          </cell>
        </row>
        <row r="30">
          <cell r="A30">
            <v>12</v>
          </cell>
          <cell r="C30">
            <v>300</v>
          </cell>
          <cell r="G30">
            <v>270530</v>
          </cell>
          <cell r="I30">
            <v>4740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/>
      <sheetData sheetId="25"/>
      <sheetData sheetId="26" refreshError="1"/>
      <sheetData sheetId="27" refreshError="1"/>
      <sheetData sheetId="28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cking Shelter Checklist"/>
      <sheetName val="QC Point and Checklist"/>
      <sheetName val="MASTER "/>
      <sheetName val="CHECKLIS MK B2S  "/>
      <sheetName val="EVIDEN"/>
      <sheetName val="EVIDEN 1"/>
      <sheetName val="EVIDEN 2"/>
      <sheetName val="UNDANGAN SKOM"/>
      <sheetName val="Sheet1"/>
      <sheetName val="Sheet2"/>
      <sheetName val="SKOM "/>
      <sheetName val="PEMBESIAN SITE"/>
      <sheetName val="UNDANGAN PENGECORAN"/>
      <sheetName val="PENGECORAN SITE"/>
      <sheetName val="MOS &amp; ERECTION"/>
      <sheetName val="UNDANGAN ATP"/>
      <sheetName val="PELAKSANAAN ATP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/>
      <sheetData sheetId="9"/>
      <sheetData sheetId="10">
        <row r="4">
          <cell r="D4" t="str">
            <v>24TS09B0004</v>
          </cell>
        </row>
        <row r="6">
          <cell r="D6" t="str">
            <v xml:space="preserve">TSEL 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Y73"/>
  <sheetViews>
    <sheetView showGridLines="0" view="pageBreakPreview" topLeftCell="A52" zoomScaleSheetLayoutView="100" workbookViewId="0">
      <selection activeCell="N49" sqref="N49"/>
    </sheetView>
  </sheetViews>
  <sheetFormatPr defaultRowHeight="15" x14ac:dyDescent="0.25"/>
  <cols>
    <col min="1" max="22" width="4.28515625" customWidth="1"/>
  </cols>
  <sheetData>
    <row r="1" spans="1:25" ht="17.25" customHeight="1" x14ac:dyDescent="0.25">
      <c r="A1" s="195"/>
      <c r="B1" s="196"/>
      <c r="C1" s="196"/>
      <c r="D1" s="196"/>
      <c r="E1" s="197"/>
      <c r="F1" s="210" t="s">
        <v>55</v>
      </c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2"/>
      <c r="R1" s="213" t="s">
        <v>56</v>
      </c>
      <c r="S1" s="214"/>
      <c r="T1" s="214"/>
      <c r="U1" s="214"/>
      <c r="V1" s="215"/>
    </row>
    <row r="2" spans="1:25" x14ac:dyDescent="0.25">
      <c r="A2" s="198"/>
      <c r="B2" s="199"/>
      <c r="C2" s="199"/>
      <c r="D2" s="199"/>
      <c r="E2" s="200"/>
      <c r="F2" s="24" t="s">
        <v>76</v>
      </c>
      <c r="G2" s="22"/>
      <c r="H2" s="23"/>
      <c r="I2" s="14"/>
      <c r="J2" s="22"/>
      <c r="K2" s="23"/>
      <c r="L2" s="24" t="s">
        <v>74</v>
      </c>
      <c r="M2" s="22"/>
      <c r="N2" s="23"/>
      <c r="O2" s="14"/>
      <c r="P2" s="22"/>
      <c r="Q2" s="22"/>
      <c r="R2" s="216"/>
      <c r="S2" s="217"/>
      <c r="T2" s="217"/>
      <c r="U2" s="217"/>
      <c r="V2" s="218"/>
    </row>
    <row r="3" spans="1:25" ht="15.75" customHeight="1" x14ac:dyDescent="0.25">
      <c r="A3" s="201"/>
      <c r="B3" s="202"/>
      <c r="C3" s="202"/>
      <c r="D3" s="202"/>
      <c r="E3" s="203"/>
      <c r="F3" s="24" t="s">
        <v>77</v>
      </c>
      <c r="G3" s="22"/>
      <c r="H3" s="23"/>
      <c r="I3" s="14"/>
      <c r="J3" s="22"/>
      <c r="K3" s="23"/>
      <c r="L3" s="24" t="s">
        <v>75</v>
      </c>
      <c r="M3" s="22"/>
      <c r="N3" s="23"/>
      <c r="O3" s="14"/>
      <c r="P3" s="22"/>
      <c r="Q3" s="22"/>
      <c r="R3" s="219"/>
      <c r="S3" s="220"/>
      <c r="T3" s="220"/>
      <c r="U3" s="220"/>
      <c r="V3" s="221"/>
    </row>
    <row r="4" spans="1:25" x14ac:dyDescent="0.25">
      <c r="A4" s="21"/>
      <c r="B4" s="21"/>
    </row>
    <row r="5" spans="1:25" x14ac:dyDescent="0.25">
      <c r="A5" s="225" t="s">
        <v>140</v>
      </c>
      <c r="B5" s="225"/>
      <c r="C5" s="225"/>
      <c r="D5" s="225"/>
      <c r="E5" s="225"/>
      <c r="F5" s="225"/>
      <c r="G5" s="225"/>
      <c r="H5" s="225"/>
      <c r="I5" s="225"/>
      <c r="J5" s="225"/>
      <c r="K5" s="225"/>
      <c r="L5" s="225"/>
      <c r="M5" s="225"/>
      <c r="N5" s="225"/>
      <c r="O5" s="225"/>
      <c r="P5" s="225"/>
      <c r="Q5" s="225"/>
      <c r="R5" s="225"/>
      <c r="S5" s="225"/>
      <c r="T5" s="225"/>
      <c r="U5" s="225"/>
      <c r="V5" s="225"/>
    </row>
    <row r="6" spans="1:25" x14ac:dyDescent="0.25">
      <c r="A6" s="222" t="s">
        <v>78</v>
      </c>
      <c r="B6" s="223"/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4"/>
    </row>
    <row r="7" spans="1:25" ht="7.15" customHeight="1" x14ac:dyDescent="0.25"/>
    <row r="8" spans="1:25" ht="15" customHeight="1" x14ac:dyDescent="0.25">
      <c r="A8" s="24" t="s">
        <v>57</v>
      </c>
      <c r="B8" s="26"/>
      <c r="C8" s="26"/>
      <c r="D8" s="26"/>
      <c r="E8" s="27"/>
      <c r="F8" s="27"/>
      <c r="G8" s="50" t="s">
        <v>65</v>
      </c>
      <c r="H8" s="27"/>
      <c r="I8" s="27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8"/>
    </row>
    <row r="9" spans="1:25" ht="15" customHeight="1" x14ac:dyDescent="0.25">
      <c r="A9" s="24" t="s">
        <v>58</v>
      </c>
      <c r="B9" s="26"/>
      <c r="C9" s="26"/>
      <c r="D9" s="26"/>
      <c r="E9" s="27"/>
      <c r="F9" s="27"/>
      <c r="G9" s="50" t="s">
        <v>65</v>
      </c>
      <c r="H9" s="27"/>
      <c r="I9" s="27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8"/>
    </row>
    <row r="10" spans="1:25" x14ac:dyDescent="0.25">
      <c r="A10" s="24" t="s">
        <v>59</v>
      </c>
      <c r="B10" s="26"/>
      <c r="C10" s="26"/>
      <c r="D10" s="26"/>
      <c r="E10" s="27"/>
      <c r="F10" s="27"/>
      <c r="G10" s="50" t="s">
        <v>65</v>
      </c>
      <c r="H10" s="27"/>
      <c r="I10" s="27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8"/>
      <c r="W10" s="3"/>
      <c r="X10" s="3"/>
      <c r="Y10" s="3"/>
    </row>
    <row r="11" spans="1:25" x14ac:dyDescent="0.25">
      <c r="A11" s="24" t="s">
        <v>60</v>
      </c>
      <c r="B11" s="26"/>
      <c r="C11" s="26"/>
      <c r="D11" s="26"/>
      <c r="E11" s="27"/>
      <c r="F11" s="27"/>
      <c r="G11" s="50" t="s">
        <v>65</v>
      </c>
      <c r="H11" s="27"/>
      <c r="I11" s="27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8"/>
    </row>
    <row r="12" spans="1:25" x14ac:dyDescent="0.25">
      <c r="A12" s="24" t="s">
        <v>61</v>
      </c>
      <c r="B12" s="26"/>
      <c r="C12" s="26"/>
      <c r="D12" s="26"/>
      <c r="E12" s="27"/>
      <c r="F12" s="27"/>
      <c r="G12" s="50" t="s">
        <v>65</v>
      </c>
      <c r="H12" s="27"/>
      <c r="I12" s="27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8"/>
    </row>
    <row r="13" spans="1:25" x14ac:dyDescent="0.25">
      <c r="A13" s="24" t="s">
        <v>17</v>
      </c>
      <c r="B13" s="26"/>
      <c r="C13" s="26"/>
      <c r="D13" s="26"/>
      <c r="E13" s="27"/>
      <c r="F13" s="27"/>
      <c r="G13" s="50" t="s">
        <v>65</v>
      </c>
      <c r="H13" s="27"/>
      <c r="I13" s="27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8"/>
    </row>
    <row r="14" spans="1:25" x14ac:dyDescent="0.25">
      <c r="A14" s="24" t="s">
        <v>62</v>
      </c>
      <c r="B14" s="26"/>
      <c r="C14" s="26"/>
      <c r="D14" s="26"/>
      <c r="E14" s="27"/>
      <c r="F14" s="27"/>
      <c r="G14" s="50" t="s">
        <v>65</v>
      </c>
      <c r="H14" s="27"/>
      <c r="I14" s="27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8"/>
    </row>
    <row r="15" spans="1:25" x14ac:dyDescent="0.25">
      <c r="A15" s="24" t="s">
        <v>63</v>
      </c>
      <c r="B15" s="26"/>
      <c r="C15" s="26"/>
      <c r="D15" s="26"/>
      <c r="E15" s="27"/>
      <c r="F15" s="27"/>
      <c r="G15" s="50" t="s">
        <v>65</v>
      </c>
      <c r="H15" s="27"/>
      <c r="I15" s="27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8"/>
    </row>
    <row r="16" spans="1:25" x14ac:dyDescent="0.25">
      <c r="A16" s="24" t="s">
        <v>64</v>
      </c>
      <c r="B16" s="26"/>
      <c r="C16" s="26"/>
      <c r="D16" s="26"/>
      <c r="E16" s="27"/>
      <c r="F16" s="27"/>
      <c r="G16" s="50" t="s">
        <v>65</v>
      </c>
      <c r="H16" s="27"/>
      <c r="I16" s="27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8"/>
    </row>
    <row r="17" spans="1:22" ht="7.15" customHeight="1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</row>
    <row r="18" spans="1:22" x14ac:dyDescent="0.25">
      <c r="A18" s="222" t="s">
        <v>73</v>
      </c>
      <c r="B18" s="223"/>
      <c r="C18" s="223"/>
      <c r="D18" s="223"/>
      <c r="E18" s="223"/>
      <c r="F18" s="223"/>
      <c r="G18" s="223"/>
      <c r="H18" s="223"/>
      <c r="I18" s="223"/>
      <c r="J18" s="223"/>
      <c r="K18" s="223"/>
      <c r="L18" s="223"/>
      <c r="M18" s="223"/>
      <c r="N18" s="223"/>
      <c r="O18" s="223"/>
      <c r="P18" s="223"/>
      <c r="Q18" s="223"/>
      <c r="R18" s="223"/>
      <c r="S18" s="223"/>
      <c r="T18" s="223"/>
      <c r="U18" s="223"/>
      <c r="V18" s="224"/>
    </row>
    <row r="19" spans="1:22" ht="7.15" customHeight="1" x14ac:dyDescent="0.25">
      <c r="A19" s="57"/>
      <c r="B19" s="57"/>
      <c r="C19" s="57"/>
      <c r="D19" s="57"/>
      <c r="E19" s="57"/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</row>
    <row r="20" spans="1:22" x14ac:dyDescent="0.25">
      <c r="A20" s="229" t="s">
        <v>66</v>
      </c>
      <c r="B20" s="230"/>
      <c r="C20" s="229" t="s">
        <v>67</v>
      </c>
      <c r="D20" s="232"/>
      <c r="E20" s="232"/>
      <c r="F20" s="232"/>
      <c r="G20" s="232"/>
      <c r="H20" s="232"/>
      <c r="I20" s="232"/>
      <c r="J20" s="232"/>
      <c r="K20" s="232"/>
      <c r="L20" s="230"/>
      <c r="M20" s="231" t="s">
        <v>68</v>
      </c>
      <c r="N20" s="231"/>
      <c r="O20" s="231"/>
      <c r="P20" s="229" t="s">
        <v>137</v>
      </c>
      <c r="Q20" s="232"/>
      <c r="R20" s="232"/>
      <c r="S20" s="232"/>
      <c r="T20" s="230"/>
      <c r="U20" s="64" t="s">
        <v>69</v>
      </c>
      <c r="V20" s="65"/>
    </row>
    <row r="21" spans="1:22" x14ac:dyDescent="0.25">
      <c r="A21" s="29"/>
      <c r="B21" s="30"/>
      <c r="C21" s="31"/>
      <c r="D21" s="32"/>
      <c r="E21" s="32"/>
      <c r="F21" s="32"/>
      <c r="G21" s="32"/>
      <c r="H21" s="32"/>
      <c r="I21" s="32"/>
      <c r="J21" s="32"/>
      <c r="K21" s="32"/>
      <c r="L21" s="32"/>
      <c r="M21" s="52" t="s">
        <v>71</v>
      </c>
      <c r="N21" s="52" t="s">
        <v>66</v>
      </c>
      <c r="O21" s="52" t="s">
        <v>72</v>
      </c>
      <c r="P21" s="233"/>
      <c r="Q21" s="234"/>
      <c r="R21" s="234"/>
      <c r="S21" s="234"/>
      <c r="T21" s="235"/>
      <c r="U21" s="32"/>
      <c r="V21" s="33"/>
    </row>
    <row r="22" spans="1:22" x14ac:dyDescent="0.25">
      <c r="A22" s="34">
        <v>1</v>
      </c>
      <c r="B22" s="35"/>
      <c r="C22" s="36" t="s">
        <v>70</v>
      </c>
      <c r="D22" s="60"/>
      <c r="E22" s="60"/>
      <c r="F22" s="60"/>
      <c r="G22" s="60"/>
      <c r="H22" s="60"/>
      <c r="I22" s="60"/>
      <c r="J22" s="60"/>
      <c r="K22" s="60"/>
      <c r="L22" s="60"/>
      <c r="M22" s="76"/>
      <c r="N22" s="76"/>
      <c r="O22" s="76"/>
      <c r="P22" s="226"/>
      <c r="Q22" s="227"/>
      <c r="R22" s="227"/>
      <c r="S22" s="227"/>
      <c r="T22" s="228"/>
      <c r="U22" s="59"/>
      <c r="V22" s="61"/>
    </row>
    <row r="23" spans="1:22" x14ac:dyDescent="0.25">
      <c r="A23" s="37"/>
      <c r="B23" s="35" t="s">
        <v>9</v>
      </c>
      <c r="C23" s="26" t="s">
        <v>93</v>
      </c>
      <c r="D23" s="60"/>
      <c r="E23" s="60"/>
      <c r="F23" s="60"/>
      <c r="G23" s="60"/>
      <c r="H23" s="60"/>
      <c r="I23" s="60"/>
      <c r="J23" s="60"/>
      <c r="K23" s="60"/>
      <c r="L23" s="60"/>
      <c r="M23" s="76"/>
      <c r="N23" s="76"/>
      <c r="O23" s="76"/>
      <c r="P23" s="226"/>
      <c r="Q23" s="227"/>
      <c r="R23" s="227"/>
      <c r="S23" s="227"/>
      <c r="T23" s="228"/>
      <c r="U23" s="59"/>
      <c r="V23" s="61"/>
    </row>
    <row r="24" spans="1:22" x14ac:dyDescent="0.25">
      <c r="A24" s="37"/>
      <c r="B24" s="35" t="s">
        <v>10</v>
      </c>
      <c r="C24" s="26" t="s">
        <v>94</v>
      </c>
      <c r="D24" s="60"/>
      <c r="E24" s="60"/>
      <c r="F24" s="60"/>
      <c r="G24" s="60"/>
      <c r="H24" s="60"/>
      <c r="I24" s="60"/>
      <c r="J24" s="60"/>
      <c r="K24" s="60"/>
      <c r="L24" s="60"/>
      <c r="M24" s="76"/>
      <c r="N24" s="76"/>
      <c r="O24" s="76"/>
      <c r="P24" s="226"/>
      <c r="Q24" s="227"/>
      <c r="R24" s="227"/>
      <c r="S24" s="227"/>
      <c r="T24" s="228"/>
      <c r="U24" s="59"/>
      <c r="V24" s="61"/>
    </row>
    <row r="25" spans="1:22" x14ac:dyDescent="0.25">
      <c r="A25" s="37"/>
      <c r="B25" s="35"/>
      <c r="C25" s="66" t="s">
        <v>95</v>
      </c>
      <c r="D25" s="60"/>
      <c r="E25" s="60"/>
      <c r="F25" s="60"/>
      <c r="G25" s="60"/>
      <c r="H25" s="60"/>
      <c r="I25" s="60"/>
      <c r="J25" s="60"/>
      <c r="K25" s="60"/>
      <c r="L25" s="60"/>
      <c r="M25" s="76"/>
      <c r="N25" s="76"/>
      <c r="O25" s="76"/>
      <c r="P25" s="226" t="s">
        <v>122</v>
      </c>
      <c r="Q25" s="227"/>
      <c r="R25" s="227"/>
      <c r="S25" s="227"/>
      <c r="T25" s="228"/>
      <c r="U25" s="59"/>
      <c r="V25" s="61"/>
    </row>
    <row r="26" spans="1:22" x14ac:dyDescent="0.25">
      <c r="A26" s="37"/>
      <c r="B26" s="35"/>
      <c r="C26" s="66" t="s">
        <v>96</v>
      </c>
      <c r="D26" s="60"/>
      <c r="E26" s="60"/>
      <c r="F26" s="60"/>
      <c r="G26" s="60"/>
      <c r="H26" s="60"/>
      <c r="I26" s="60"/>
      <c r="J26" s="60"/>
      <c r="K26" s="60"/>
      <c r="L26" s="60"/>
      <c r="M26" s="76"/>
      <c r="N26" s="76"/>
      <c r="O26" s="76"/>
      <c r="P26" s="226" t="s">
        <v>122</v>
      </c>
      <c r="Q26" s="227"/>
      <c r="R26" s="227"/>
      <c r="S26" s="227"/>
      <c r="T26" s="228"/>
      <c r="U26" s="59"/>
      <c r="V26" s="61"/>
    </row>
    <row r="27" spans="1:22" x14ac:dyDescent="0.25">
      <c r="A27" s="59"/>
      <c r="B27" s="67"/>
      <c r="C27" s="68" t="s">
        <v>97</v>
      </c>
      <c r="D27" s="60"/>
      <c r="E27" s="60"/>
      <c r="F27" s="60"/>
      <c r="G27" s="60"/>
      <c r="H27" s="60"/>
      <c r="I27" s="60"/>
      <c r="J27" s="60"/>
      <c r="K27" s="60"/>
      <c r="L27" s="60"/>
      <c r="M27" s="76"/>
      <c r="N27" s="76"/>
      <c r="O27" s="76"/>
      <c r="P27" s="226" t="s">
        <v>122</v>
      </c>
      <c r="Q27" s="227"/>
      <c r="R27" s="227"/>
      <c r="S27" s="227"/>
      <c r="T27" s="228"/>
      <c r="U27" s="59"/>
      <c r="V27" s="61"/>
    </row>
    <row r="28" spans="1:22" x14ac:dyDescent="0.25">
      <c r="A28" s="59"/>
      <c r="B28" s="15" t="s">
        <v>11</v>
      </c>
      <c r="C28" s="39" t="s">
        <v>98</v>
      </c>
      <c r="D28" s="60"/>
      <c r="E28" s="60"/>
      <c r="F28" s="60"/>
      <c r="G28" s="60"/>
      <c r="H28" s="60"/>
      <c r="I28" s="60"/>
      <c r="J28" s="60"/>
      <c r="K28" s="60"/>
      <c r="L28" s="60"/>
      <c r="M28" s="76"/>
      <c r="N28" s="76"/>
      <c r="O28" s="76"/>
      <c r="P28" s="226"/>
      <c r="Q28" s="227"/>
      <c r="R28" s="227"/>
      <c r="S28" s="227"/>
      <c r="T28" s="228"/>
      <c r="U28" s="59"/>
      <c r="V28" s="61"/>
    </row>
    <row r="29" spans="1:22" ht="30" customHeight="1" x14ac:dyDescent="0.25">
      <c r="A29" s="59"/>
      <c r="B29" s="67"/>
      <c r="C29" s="68" t="s">
        <v>99</v>
      </c>
      <c r="D29" s="60"/>
      <c r="E29" s="60"/>
      <c r="F29" s="60"/>
      <c r="G29" s="60"/>
      <c r="H29" s="60"/>
      <c r="I29" s="60"/>
      <c r="J29" s="60"/>
      <c r="K29" s="60"/>
      <c r="L29" s="60"/>
      <c r="M29" s="76"/>
      <c r="N29" s="76"/>
      <c r="O29" s="76"/>
      <c r="P29" s="226" t="s">
        <v>123</v>
      </c>
      <c r="Q29" s="227"/>
      <c r="R29" s="227"/>
      <c r="S29" s="227"/>
      <c r="T29" s="228"/>
      <c r="U29" s="59"/>
      <c r="V29" s="61"/>
    </row>
    <row r="30" spans="1:22" x14ac:dyDescent="0.25">
      <c r="A30" s="59"/>
      <c r="B30" s="67"/>
      <c r="C30" s="68" t="s">
        <v>100</v>
      </c>
      <c r="D30" s="60"/>
      <c r="E30" s="60"/>
      <c r="F30" s="60"/>
      <c r="G30" s="60"/>
      <c r="H30" s="60"/>
      <c r="I30" s="60"/>
      <c r="J30" s="60"/>
      <c r="K30" s="60"/>
      <c r="L30" s="60"/>
      <c r="M30" s="76"/>
      <c r="N30" s="76"/>
      <c r="O30" s="76"/>
      <c r="P30" s="226" t="s">
        <v>44</v>
      </c>
      <c r="Q30" s="227"/>
      <c r="R30" s="227"/>
      <c r="S30" s="227"/>
      <c r="T30" s="228"/>
      <c r="U30" s="59"/>
      <c r="V30" s="61"/>
    </row>
    <row r="31" spans="1:22" x14ac:dyDescent="0.25">
      <c r="A31" s="59"/>
      <c r="B31" s="35" t="s">
        <v>13</v>
      </c>
      <c r="C31" s="39" t="s">
        <v>101</v>
      </c>
      <c r="D31" s="60"/>
      <c r="E31" s="60"/>
      <c r="F31" s="60"/>
      <c r="G31" s="60"/>
      <c r="H31" s="60"/>
      <c r="I31" s="60"/>
      <c r="J31" s="60"/>
      <c r="K31" s="60"/>
      <c r="L31" s="60"/>
      <c r="M31" s="76"/>
      <c r="N31" s="76"/>
      <c r="O31" s="76"/>
      <c r="P31" s="226"/>
      <c r="Q31" s="227"/>
      <c r="R31" s="227"/>
      <c r="S31" s="227"/>
      <c r="T31" s="228"/>
      <c r="U31" s="59"/>
      <c r="V31" s="61"/>
    </row>
    <row r="32" spans="1:22" x14ac:dyDescent="0.25">
      <c r="A32" s="59"/>
      <c r="B32" s="67"/>
      <c r="C32" s="68" t="s">
        <v>102</v>
      </c>
      <c r="D32" s="60"/>
      <c r="E32" s="60"/>
      <c r="F32" s="60"/>
      <c r="G32" s="60"/>
      <c r="H32" s="60"/>
      <c r="I32" s="60"/>
      <c r="J32" s="60"/>
      <c r="K32" s="60"/>
      <c r="L32" s="60"/>
      <c r="M32" s="76"/>
      <c r="N32" s="76"/>
      <c r="O32" s="76"/>
      <c r="P32" s="226" t="s">
        <v>122</v>
      </c>
      <c r="Q32" s="227"/>
      <c r="R32" s="227"/>
      <c r="S32" s="227"/>
      <c r="T32" s="228"/>
      <c r="U32" s="59"/>
      <c r="V32" s="61"/>
    </row>
    <row r="33" spans="1:22" x14ac:dyDescent="0.25">
      <c r="A33" s="38"/>
      <c r="B33" s="62"/>
      <c r="C33" s="68" t="s">
        <v>103</v>
      </c>
      <c r="D33" s="39"/>
      <c r="E33" s="39"/>
      <c r="F33" s="39"/>
      <c r="G33" s="39"/>
      <c r="H33" s="39"/>
      <c r="I33" s="39"/>
      <c r="J33" s="39"/>
      <c r="K33" s="39"/>
      <c r="L33" s="39"/>
      <c r="M33" s="50"/>
      <c r="N33" s="50"/>
      <c r="O33" s="50"/>
      <c r="P33" s="226" t="s">
        <v>124</v>
      </c>
      <c r="Q33" s="227"/>
      <c r="R33" s="227"/>
      <c r="S33" s="227"/>
      <c r="T33" s="228"/>
      <c r="U33" s="38"/>
      <c r="V33" s="62"/>
    </row>
    <row r="34" spans="1:22" x14ac:dyDescent="0.25">
      <c r="A34" s="69"/>
      <c r="B34" s="70"/>
      <c r="C34" s="68" t="s">
        <v>139</v>
      </c>
      <c r="D34" s="71"/>
      <c r="E34" s="71"/>
      <c r="F34" s="71"/>
      <c r="G34" s="71"/>
      <c r="H34" s="71"/>
      <c r="I34" s="71"/>
      <c r="J34" s="71"/>
      <c r="K34" s="71"/>
      <c r="L34" s="71"/>
      <c r="M34" s="6"/>
      <c r="N34" s="6"/>
      <c r="O34" s="6"/>
      <c r="P34" s="226" t="s">
        <v>125</v>
      </c>
      <c r="Q34" s="227"/>
      <c r="R34" s="227"/>
      <c r="S34" s="227"/>
      <c r="T34" s="228"/>
      <c r="U34" s="69"/>
      <c r="V34" s="70"/>
    </row>
    <row r="35" spans="1:22" x14ac:dyDescent="0.25">
      <c r="A35" s="69"/>
      <c r="B35" s="70"/>
      <c r="C35" s="68" t="s">
        <v>104</v>
      </c>
      <c r="D35" s="71"/>
      <c r="E35" s="71"/>
      <c r="F35" s="71"/>
      <c r="G35" s="71"/>
      <c r="H35" s="71"/>
      <c r="I35" s="71"/>
      <c r="J35" s="71"/>
      <c r="K35" s="71"/>
      <c r="L35" s="71"/>
      <c r="M35" s="6"/>
      <c r="N35" s="6"/>
      <c r="O35" s="6"/>
      <c r="P35" s="226" t="s">
        <v>126</v>
      </c>
      <c r="Q35" s="227"/>
      <c r="R35" s="227"/>
      <c r="S35" s="227"/>
      <c r="T35" s="228"/>
      <c r="U35" s="69"/>
      <c r="V35" s="70"/>
    </row>
    <row r="36" spans="1:22" x14ac:dyDescent="0.25">
      <c r="A36" s="72"/>
      <c r="B36" s="35" t="s">
        <v>15</v>
      </c>
      <c r="C36" s="39" t="s">
        <v>105</v>
      </c>
      <c r="D36" s="22"/>
      <c r="E36" s="22"/>
      <c r="F36" s="22"/>
      <c r="G36" s="22"/>
      <c r="H36" s="22"/>
      <c r="I36" s="22"/>
      <c r="J36" s="22"/>
      <c r="K36" s="22"/>
      <c r="L36" s="22"/>
      <c r="M36" s="4"/>
      <c r="N36" s="4"/>
      <c r="O36" s="4"/>
      <c r="P36" s="226"/>
      <c r="Q36" s="227"/>
      <c r="R36" s="227"/>
      <c r="S36" s="227"/>
      <c r="T36" s="228"/>
      <c r="U36" s="14"/>
      <c r="V36" s="23"/>
    </row>
    <row r="37" spans="1:22" x14ac:dyDescent="0.25">
      <c r="A37" s="72"/>
      <c r="B37" s="15"/>
      <c r="C37" s="68" t="s">
        <v>106</v>
      </c>
      <c r="D37" s="22"/>
      <c r="E37" s="22"/>
      <c r="F37" s="22"/>
      <c r="G37" s="22"/>
      <c r="H37" s="22"/>
      <c r="I37" s="22"/>
      <c r="J37" s="22"/>
      <c r="K37" s="22"/>
      <c r="L37" s="22"/>
      <c r="M37" s="4"/>
      <c r="N37" s="4"/>
      <c r="O37" s="4"/>
      <c r="P37" s="226" t="s">
        <v>127</v>
      </c>
      <c r="Q37" s="227"/>
      <c r="R37" s="227"/>
      <c r="S37" s="227"/>
      <c r="T37" s="228"/>
      <c r="U37" s="14"/>
      <c r="V37" s="23"/>
    </row>
    <row r="38" spans="1:22" x14ac:dyDescent="0.25">
      <c r="A38" s="72"/>
      <c r="B38" s="15"/>
      <c r="C38" s="68" t="s">
        <v>107</v>
      </c>
      <c r="D38" s="22"/>
      <c r="E38" s="22"/>
      <c r="F38" s="22"/>
      <c r="G38" s="22"/>
      <c r="H38" s="22"/>
      <c r="I38" s="22"/>
      <c r="J38" s="22"/>
      <c r="K38" s="22"/>
      <c r="L38" s="22"/>
      <c r="M38" s="4"/>
      <c r="N38" s="4"/>
      <c r="O38" s="4"/>
      <c r="P38" s="226" t="s">
        <v>128</v>
      </c>
      <c r="Q38" s="227"/>
      <c r="R38" s="227"/>
      <c r="S38" s="227"/>
      <c r="T38" s="228"/>
      <c r="U38" s="14"/>
      <c r="V38" s="23"/>
    </row>
    <row r="39" spans="1:22" x14ac:dyDescent="0.25">
      <c r="A39" s="34">
        <v>2</v>
      </c>
      <c r="B39" s="35"/>
      <c r="C39" s="36" t="s">
        <v>108</v>
      </c>
      <c r="D39" s="22"/>
      <c r="E39" s="22"/>
      <c r="F39" s="22"/>
      <c r="G39" s="22"/>
      <c r="H39" s="22"/>
      <c r="I39" s="22"/>
      <c r="J39" s="22"/>
      <c r="K39" s="22"/>
      <c r="L39" s="22"/>
      <c r="M39" s="4"/>
      <c r="N39" s="4"/>
      <c r="O39" s="4"/>
      <c r="P39" s="226"/>
      <c r="Q39" s="227"/>
      <c r="R39" s="227"/>
      <c r="S39" s="227"/>
      <c r="T39" s="228"/>
      <c r="U39" s="14"/>
      <c r="V39" s="23"/>
    </row>
    <row r="40" spans="1:22" x14ac:dyDescent="0.25">
      <c r="A40" s="72"/>
      <c r="B40" s="35" t="s">
        <v>9</v>
      </c>
      <c r="C40" s="39" t="s">
        <v>109</v>
      </c>
      <c r="D40" s="22"/>
      <c r="E40" s="22"/>
      <c r="F40" s="22"/>
      <c r="G40" s="22"/>
      <c r="H40" s="22"/>
      <c r="I40" s="22"/>
      <c r="J40" s="22"/>
      <c r="K40" s="22"/>
      <c r="L40" s="22"/>
      <c r="M40" s="4"/>
      <c r="N40" s="4"/>
      <c r="O40" s="4"/>
      <c r="P40" s="226"/>
      <c r="Q40" s="227"/>
      <c r="R40" s="227"/>
      <c r="S40" s="227"/>
      <c r="T40" s="228"/>
      <c r="U40" s="14"/>
      <c r="V40" s="23"/>
    </row>
    <row r="41" spans="1:22" ht="65.25" customHeight="1" x14ac:dyDescent="0.25">
      <c r="A41" s="69"/>
      <c r="B41" s="62"/>
      <c r="C41" s="68" t="s">
        <v>110</v>
      </c>
      <c r="D41" s="71"/>
      <c r="E41" s="71"/>
      <c r="F41" s="71"/>
      <c r="G41" s="71"/>
      <c r="H41" s="71"/>
      <c r="I41" s="71"/>
      <c r="J41" s="71"/>
      <c r="K41" s="71"/>
      <c r="L41" s="71"/>
      <c r="M41" s="6"/>
      <c r="N41" s="6"/>
      <c r="O41" s="6"/>
      <c r="P41" s="226" t="s">
        <v>138</v>
      </c>
      <c r="Q41" s="227"/>
      <c r="R41" s="227"/>
      <c r="S41" s="227"/>
      <c r="T41" s="228"/>
      <c r="U41" s="69"/>
      <c r="V41" s="70"/>
    </row>
    <row r="42" spans="1:22" ht="40.5" customHeight="1" x14ac:dyDescent="0.25">
      <c r="A42" s="73"/>
      <c r="B42" s="35"/>
      <c r="C42" s="68" t="s">
        <v>111</v>
      </c>
      <c r="D42" s="22"/>
      <c r="E42" s="22"/>
      <c r="F42" s="22"/>
      <c r="G42" s="22"/>
      <c r="H42" s="74"/>
      <c r="I42" s="75"/>
      <c r="J42" s="22"/>
      <c r="K42" s="22"/>
      <c r="L42" s="22"/>
      <c r="M42" s="4"/>
      <c r="N42" s="4"/>
      <c r="O42" s="6"/>
      <c r="P42" s="226" t="s">
        <v>129</v>
      </c>
      <c r="Q42" s="227"/>
      <c r="R42" s="227"/>
      <c r="S42" s="227"/>
      <c r="T42" s="228"/>
      <c r="U42" s="14"/>
      <c r="V42" s="23"/>
    </row>
    <row r="43" spans="1:22" x14ac:dyDescent="0.25">
      <c r="A43" s="73"/>
      <c r="B43" s="35"/>
      <c r="C43" s="68" t="s">
        <v>112</v>
      </c>
      <c r="D43" s="22"/>
      <c r="E43" s="22"/>
      <c r="F43" s="22"/>
      <c r="G43" s="22"/>
      <c r="H43" s="74"/>
      <c r="I43" s="75"/>
      <c r="J43" s="22"/>
      <c r="K43" s="22"/>
      <c r="L43" s="22"/>
      <c r="M43" s="4"/>
      <c r="N43" s="4"/>
      <c r="O43" s="6"/>
      <c r="P43" s="226" t="s">
        <v>130</v>
      </c>
      <c r="Q43" s="227"/>
      <c r="R43" s="227"/>
      <c r="S43" s="227"/>
      <c r="T43" s="228"/>
      <c r="U43" s="14"/>
      <c r="V43" s="23"/>
    </row>
    <row r="44" spans="1:22" x14ac:dyDescent="0.25">
      <c r="A44" s="73"/>
      <c r="B44" s="35" t="s">
        <v>10</v>
      </c>
      <c r="C44" s="39" t="s">
        <v>113</v>
      </c>
      <c r="D44" s="22"/>
      <c r="E44" s="22"/>
      <c r="F44" s="22"/>
      <c r="G44" s="22"/>
      <c r="H44" s="74"/>
      <c r="I44" s="75"/>
      <c r="J44" s="22"/>
      <c r="K44" s="22"/>
      <c r="L44" s="22"/>
      <c r="M44" s="4"/>
      <c r="N44" s="4"/>
      <c r="O44" s="6"/>
      <c r="P44" s="226" t="s">
        <v>131</v>
      </c>
      <c r="Q44" s="227"/>
      <c r="R44" s="227"/>
      <c r="S44" s="227"/>
      <c r="T44" s="228"/>
      <c r="U44" s="14"/>
      <c r="V44" s="23"/>
    </row>
    <row r="45" spans="1:22" x14ac:dyDescent="0.25">
      <c r="A45" s="73"/>
      <c r="B45" s="35" t="s">
        <v>11</v>
      </c>
      <c r="C45" s="39" t="s">
        <v>114</v>
      </c>
      <c r="D45" s="22"/>
      <c r="E45" s="22"/>
      <c r="F45" s="22"/>
      <c r="G45" s="22"/>
      <c r="H45" s="74"/>
      <c r="I45" s="75"/>
      <c r="J45" s="22"/>
      <c r="K45" s="22"/>
      <c r="L45" s="22"/>
      <c r="M45" s="4"/>
      <c r="N45" s="4"/>
      <c r="O45" s="6"/>
      <c r="P45" s="226" t="s">
        <v>135</v>
      </c>
      <c r="Q45" s="227"/>
      <c r="R45" s="227"/>
      <c r="S45" s="227"/>
      <c r="T45" s="228"/>
      <c r="U45" s="14"/>
      <c r="V45" s="23"/>
    </row>
    <row r="46" spans="1:22" ht="30" customHeight="1" x14ac:dyDescent="0.25">
      <c r="A46" s="59"/>
      <c r="B46" s="35" t="s">
        <v>13</v>
      </c>
      <c r="C46" s="39" t="s">
        <v>115</v>
      </c>
      <c r="D46" s="60"/>
      <c r="E46" s="60"/>
      <c r="F46" s="60"/>
      <c r="G46" s="60"/>
      <c r="H46" s="60"/>
      <c r="I46" s="60"/>
      <c r="J46" s="60"/>
      <c r="K46" s="60"/>
      <c r="L46" s="60"/>
      <c r="M46" s="76"/>
      <c r="N46" s="76"/>
      <c r="O46" s="76"/>
      <c r="P46" s="226" t="s">
        <v>132</v>
      </c>
      <c r="Q46" s="227"/>
      <c r="R46" s="227"/>
      <c r="S46" s="227"/>
      <c r="T46" s="228"/>
      <c r="U46" s="59"/>
      <c r="V46" s="61"/>
    </row>
    <row r="47" spans="1:22" ht="30" customHeight="1" x14ac:dyDescent="0.25">
      <c r="A47" s="59"/>
      <c r="B47" s="35" t="s">
        <v>15</v>
      </c>
      <c r="C47" s="39" t="s">
        <v>7</v>
      </c>
      <c r="D47" s="60"/>
      <c r="E47" s="60"/>
      <c r="F47" s="60"/>
      <c r="G47" s="60"/>
      <c r="H47" s="60"/>
      <c r="I47" s="60"/>
      <c r="J47" s="60"/>
      <c r="K47" s="60"/>
      <c r="L47" s="60"/>
      <c r="M47" s="76"/>
      <c r="N47" s="76"/>
      <c r="O47" s="76"/>
      <c r="P47" s="226" t="s">
        <v>133</v>
      </c>
      <c r="Q47" s="227"/>
      <c r="R47" s="227"/>
      <c r="S47" s="227"/>
      <c r="T47" s="228"/>
      <c r="U47" s="59"/>
      <c r="V47" s="61"/>
    </row>
    <row r="48" spans="1:22" ht="30" customHeight="1" x14ac:dyDescent="0.25">
      <c r="A48" s="59"/>
      <c r="B48" s="35" t="s">
        <v>32</v>
      </c>
      <c r="C48" s="39" t="s">
        <v>116</v>
      </c>
      <c r="D48" s="60"/>
      <c r="E48" s="60"/>
      <c r="F48" s="60"/>
      <c r="G48" s="60"/>
      <c r="H48" s="60"/>
      <c r="I48" s="60"/>
      <c r="J48" s="60"/>
      <c r="K48" s="60"/>
      <c r="L48" s="60"/>
      <c r="M48" s="76"/>
      <c r="N48" s="76"/>
      <c r="O48" s="76"/>
      <c r="P48" s="226" t="s">
        <v>134</v>
      </c>
      <c r="Q48" s="227"/>
      <c r="R48" s="227"/>
      <c r="S48" s="227"/>
      <c r="T48" s="228"/>
      <c r="U48" s="59"/>
      <c r="V48" s="61"/>
    </row>
    <row r="49" spans="1:22" x14ac:dyDescent="0.25">
      <c r="A49" s="59"/>
      <c r="B49" s="35" t="s">
        <v>34</v>
      </c>
      <c r="C49" s="39" t="s">
        <v>41</v>
      </c>
      <c r="D49" s="60"/>
      <c r="E49" s="60"/>
      <c r="F49" s="60"/>
      <c r="G49" s="60"/>
      <c r="H49" s="60"/>
      <c r="I49" s="60"/>
      <c r="J49" s="60"/>
      <c r="K49" s="60"/>
      <c r="L49" s="60"/>
      <c r="M49" s="76"/>
      <c r="N49" s="76"/>
      <c r="O49" s="76"/>
      <c r="P49" s="226" t="s">
        <v>136</v>
      </c>
      <c r="Q49" s="227"/>
      <c r="R49" s="227"/>
      <c r="S49" s="227"/>
      <c r="T49" s="228"/>
      <c r="U49" s="59"/>
      <c r="V49" s="61"/>
    </row>
    <row r="50" spans="1:22" x14ac:dyDescent="0.25">
      <c r="A50" s="34">
        <v>3</v>
      </c>
      <c r="B50" s="35"/>
      <c r="C50" s="36" t="s">
        <v>119</v>
      </c>
      <c r="D50" s="60"/>
      <c r="E50" s="60"/>
      <c r="F50" s="60"/>
      <c r="G50" s="60"/>
      <c r="H50" s="60"/>
      <c r="I50" s="60"/>
      <c r="J50" s="60"/>
      <c r="K50" s="60"/>
      <c r="L50" s="60"/>
      <c r="M50" s="76"/>
      <c r="N50" s="76"/>
      <c r="O50" s="76"/>
      <c r="P50" s="226"/>
      <c r="Q50" s="227"/>
      <c r="R50" s="227"/>
      <c r="S50" s="227"/>
      <c r="T50" s="228"/>
      <c r="U50" s="59"/>
      <c r="V50" s="61"/>
    </row>
    <row r="51" spans="1:22" x14ac:dyDescent="0.25">
      <c r="A51" s="59"/>
      <c r="B51" s="35" t="s">
        <v>9</v>
      </c>
      <c r="C51" s="39" t="s">
        <v>117</v>
      </c>
      <c r="D51" s="60"/>
      <c r="E51" s="60"/>
      <c r="F51" s="60"/>
      <c r="G51" s="60"/>
      <c r="H51" s="60"/>
      <c r="I51" s="60"/>
      <c r="J51" s="60"/>
      <c r="K51" s="60"/>
      <c r="L51" s="60"/>
      <c r="M51" s="76"/>
      <c r="N51" s="76"/>
      <c r="O51" s="76"/>
      <c r="P51" s="226"/>
      <c r="Q51" s="227"/>
      <c r="R51" s="227"/>
      <c r="S51" s="227"/>
      <c r="T51" s="228"/>
      <c r="U51" s="59"/>
      <c r="V51" s="61"/>
    </row>
    <row r="52" spans="1:22" x14ac:dyDescent="0.25">
      <c r="A52" s="59"/>
      <c r="B52" s="35" t="s">
        <v>10</v>
      </c>
      <c r="C52" s="39" t="s">
        <v>118</v>
      </c>
      <c r="D52" s="60"/>
      <c r="E52" s="60"/>
      <c r="F52" s="60"/>
      <c r="G52" s="60"/>
      <c r="H52" s="60"/>
      <c r="I52" s="60"/>
      <c r="J52" s="60"/>
      <c r="K52" s="60"/>
      <c r="L52" s="60"/>
      <c r="M52" s="76"/>
      <c r="N52" s="76"/>
      <c r="O52" s="76"/>
      <c r="P52" s="226"/>
      <c r="Q52" s="227"/>
      <c r="R52" s="227"/>
      <c r="S52" s="227"/>
      <c r="T52" s="228"/>
      <c r="U52" s="59"/>
      <c r="V52" s="61"/>
    </row>
    <row r="53" spans="1:22" x14ac:dyDescent="0.25">
      <c r="A53" s="57"/>
      <c r="B53" s="53"/>
      <c r="C53" s="63"/>
      <c r="D53" s="57"/>
      <c r="E53" s="57"/>
      <c r="F53" s="57"/>
      <c r="G53" s="57"/>
      <c r="H53" s="57"/>
      <c r="I53" s="57"/>
      <c r="J53" s="57"/>
      <c r="K53" s="57"/>
      <c r="L53" s="57"/>
      <c r="M53" s="57"/>
      <c r="N53" s="57"/>
      <c r="O53" s="58"/>
      <c r="P53" s="57"/>
      <c r="Q53" s="57"/>
      <c r="R53" s="57"/>
      <c r="S53" s="57"/>
      <c r="T53" s="57"/>
      <c r="U53" s="57"/>
      <c r="V53" s="57"/>
    </row>
    <row r="54" spans="1:22" x14ac:dyDescent="0.25">
      <c r="A54" s="204" t="s">
        <v>120</v>
      </c>
      <c r="B54" s="205"/>
      <c r="C54" s="205"/>
      <c r="D54" s="205"/>
      <c r="E54" s="205"/>
      <c r="F54" s="205"/>
      <c r="G54" s="206"/>
      <c r="H54" s="204" t="s">
        <v>121</v>
      </c>
      <c r="I54" s="205"/>
      <c r="J54" s="205"/>
      <c r="K54" s="205"/>
      <c r="L54" s="205"/>
      <c r="M54" s="205"/>
      <c r="N54" s="206"/>
      <c r="O54" s="204" t="s">
        <v>121</v>
      </c>
      <c r="P54" s="205"/>
      <c r="Q54" s="205"/>
      <c r="R54" s="205"/>
      <c r="S54" s="205"/>
      <c r="T54" s="205"/>
      <c r="U54" s="205"/>
      <c r="V54" s="206"/>
    </row>
    <row r="55" spans="1:22" x14ac:dyDescent="0.25">
      <c r="A55" s="207" t="s">
        <v>86</v>
      </c>
      <c r="B55" s="208"/>
      <c r="C55" s="208"/>
      <c r="D55" s="208"/>
      <c r="E55" s="208"/>
      <c r="F55" s="208"/>
      <c r="G55" s="209"/>
      <c r="H55" s="207" t="s">
        <v>90</v>
      </c>
      <c r="I55" s="208"/>
      <c r="J55" s="208"/>
      <c r="K55" s="208"/>
      <c r="L55" s="208"/>
      <c r="M55" s="208"/>
      <c r="N55" s="209"/>
      <c r="O55" s="207" t="s">
        <v>91</v>
      </c>
      <c r="P55" s="208"/>
      <c r="Q55" s="208"/>
      <c r="R55" s="208"/>
      <c r="S55" s="208"/>
      <c r="T55" s="208"/>
      <c r="U55" s="208"/>
      <c r="V55" s="209"/>
    </row>
    <row r="56" spans="1:22" x14ac:dyDescent="0.25">
      <c r="A56" s="44"/>
      <c r="B56" s="53"/>
      <c r="C56" s="25"/>
      <c r="D56" s="25"/>
      <c r="E56" s="25"/>
      <c r="F56" s="25"/>
      <c r="G56" s="45"/>
      <c r="H56" s="48"/>
      <c r="I56" s="25"/>
      <c r="J56" s="25"/>
      <c r="K56" s="25"/>
      <c r="L56" s="25"/>
      <c r="M56" s="25"/>
      <c r="N56" s="45"/>
      <c r="O56" s="48"/>
      <c r="P56" s="53"/>
      <c r="Q56" s="53"/>
      <c r="R56" s="53"/>
      <c r="S56" s="25"/>
      <c r="T56" s="25"/>
      <c r="U56" s="25"/>
      <c r="V56" s="45"/>
    </row>
    <row r="57" spans="1:22" x14ac:dyDescent="0.25">
      <c r="A57" s="44"/>
      <c r="B57" s="53"/>
      <c r="C57" s="25"/>
      <c r="D57" s="25"/>
      <c r="E57" s="25"/>
      <c r="F57" s="25"/>
      <c r="G57" s="45"/>
      <c r="H57" s="48"/>
      <c r="I57" s="25"/>
      <c r="J57" s="25"/>
      <c r="K57" s="25"/>
      <c r="L57" s="25"/>
      <c r="M57" s="25"/>
      <c r="N57" s="45"/>
      <c r="O57" s="48"/>
      <c r="P57" s="53"/>
      <c r="Q57" s="53"/>
      <c r="R57" s="53"/>
      <c r="S57" s="25"/>
      <c r="T57" s="25"/>
      <c r="U57" s="25"/>
      <c r="V57" s="45"/>
    </row>
    <row r="58" spans="1:22" x14ac:dyDescent="0.25">
      <c r="A58" s="46"/>
      <c r="B58" s="51"/>
      <c r="C58" s="43"/>
      <c r="D58" s="43"/>
      <c r="E58" s="43"/>
      <c r="F58" s="43"/>
      <c r="G58" s="47"/>
      <c r="H58" s="49"/>
      <c r="I58" s="43"/>
      <c r="J58" s="43"/>
      <c r="K58" s="43"/>
      <c r="L58" s="43"/>
      <c r="M58" s="43"/>
      <c r="N58" s="47"/>
      <c r="O58" s="49"/>
      <c r="P58" s="51"/>
      <c r="Q58" s="51"/>
      <c r="R58" s="51"/>
      <c r="S58" s="43"/>
      <c r="T58" s="43"/>
      <c r="U58" s="43"/>
      <c r="V58" s="47"/>
    </row>
    <row r="59" spans="1:22" x14ac:dyDescent="0.25">
      <c r="A59" s="38" t="s">
        <v>92</v>
      </c>
      <c r="B59" s="39"/>
      <c r="C59" s="39"/>
      <c r="D59" s="39"/>
      <c r="E59" s="39"/>
      <c r="F59" s="39"/>
      <c r="G59" s="62"/>
      <c r="H59" s="38" t="s">
        <v>92</v>
      </c>
      <c r="I59" s="39"/>
      <c r="J59" s="39"/>
      <c r="K59" s="39"/>
      <c r="L59" s="39"/>
      <c r="M59" s="39"/>
      <c r="N59" s="62"/>
      <c r="O59" s="38" t="s">
        <v>92</v>
      </c>
      <c r="P59" s="39"/>
      <c r="Q59" s="39"/>
      <c r="R59" s="39"/>
      <c r="S59" s="39"/>
      <c r="T59" s="39"/>
      <c r="U59" s="39"/>
      <c r="V59" s="62"/>
    </row>
    <row r="60" spans="1:22" x14ac:dyDescent="0.25">
      <c r="A60" s="41" t="s">
        <v>89</v>
      </c>
      <c r="B60" s="27"/>
      <c r="C60" s="26"/>
      <c r="D60" s="26"/>
      <c r="E60" s="26"/>
      <c r="F60" s="26"/>
      <c r="G60" s="28"/>
      <c r="H60" s="41" t="s">
        <v>89</v>
      </c>
      <c r="I60" s="27"/>
      <c r="J60" s="26"/>
      <c r="K60" s="26"/>
      <c r="L60" s="26"/>
      <c r="M60" s="26"/>
      <c r="N60" s="28"/>
      <c r="O60" s="41" t="s">
        <v>89</v>
      </c>
      <c r="P60" s="27"/>
      <c r="Q60" s="26"/>
      <c r="R60" s="26"/>
      <c r="S60" s="26"/>
      <c r="T60" s="26"/>
      <c r="U60" s="26"/>
      <c r="V60" s="28"/>
    </row>
    <row r="61" spans="1:22" x14ac:dyDescent="0.25">
      <c r="A61" s="57"/>
      <c r="B61" s="57"/>
      <c r="C61" s="57"/>
      <c r="D61" s="57"/>
      <c r="E61" s="57"/>
      <c r="F61" s="57"/>
      <c r="G61" s="57"/>
      <c r="H61" s="57"/>
      <c r="I61" s="57"/>
      <c r="J61" s="57"/>
      <c r="K61" s="57"/>
      <c r="L61" s="57"/>
      <c r="M61" s="57"/>
      <c r="N61" s="57"/>
      <c r="O61" s="57"/>
      <c r="P61" s="57"/>
      <c r="Q61" s="57"/>
      <c r="R61" s="57"/>
      <c r="S61" s="57"/>
      <c r="T61" s="57"/>
      <c r="U61" s="57"/>
      <c r="V61" s="57"/>
    </row>
    <row r="62" spans="1:22" x14ac:dyDescent="0.25">
      <c r="A62" s="38" t="s">
        <v>79</v>
      </c>
      <c r="B62" s="39"/>
      <c r="C62" s="39" t="s">
        <v>65</v>
      </c>
      <c r="D62" s="40">
        <v>2</v>
      </c>
      <c r="E62" s="236" t="s">
        <v>85</v>
      </c>
      <c r="F62" s="237"/>
      <c r="G62" s="237"/>
      <c r="H62" s="237"/>
      <c r="I62" s="237"/>
      <c r="J62" s="237"/>
      <c r="K62" s="237"/>
      <c r="L62" s="237"/>
      <c r="M62" s="237"/>
      <c r="N62" s="237"/>
      <c r="O62" s="237"/>
      <c r="P62" s="237"/>
      <c r="Q62" s="238"/>
      <c r="R62" s="239" t="s">
        <v>83</v>
      </c>
      <c r="S62" s="240"/>
      <c r="T62" s="240">
        <v>1</v>
      </c>
      <c r="U62" s="243" t="s">
        <v>84</v>
      </c>
      <c r="V62" s="245">
        <v>2</v>
      </c>
    </row>
    <row r="63" spans="1:22" x14ac:dyDescent="0.25">
      <c r="A63" s="41" t="s">
        <v>80</v>
      </c>
      <c r="B63" s="27"/>
      <c r="C63" s="26" t="s">
        <v>65</v>
      </c>
      <c r="D63" s="42">
        <v>1</v>
      </c>
      <c r="E63" s="24" t="s">
        <v>81</v>
      </c>
      <c r="F63" s="26"/>
      <c r="G63" s="26"/>
      <c r="H63" s="26"/>
      <c r="I63" s="26"/>
      <c r="J63" s="26"/>
      <c r="K63" s="28"/>
      <c r="L63" s="247" t="s">
        <v>82</v>
      </c>
      <c r="M63" s="248"/>
      <c r="N63" s="248"/>
      <c r="O63" s="248"/>
      <c r="P63" s="249">
        <v>39660</v>
      </c>
      <c r="Q63" s="250"/>
      <c r="R63" s="241"/>
      <c r="S63" s="242"/>
      <c r="T63" s="242"/>
      <c r="U63" s="244"/>
      <c r="V63" s="246"/>
    </row>
    <row r="64" spans="1:22" x14ac:dyDescent="0.25">
      <c r="A64" s="53"/>
      <c r="B64" s="53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53"/>
      <c r="Q64" s="53"/>
      <c r="R64" s="53"/>
      <c r="S64" s="25"/>
      <c r="T64" s="25"/>
      <c r="U64" s="25"/>
      <c r="V64" s="25"/>
    </row>
    <row r="73" spans="1:22" x14ac:dyDescent="0.25">
      <c r="A73" s="53"/>
      <c r="B73" s="53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53"/>
      <c r="Q73" s="53"/>
      <c r="R73" s="53"/>
      <c r="S73" s="25"/>
      <c r="T73" s="25"/>
      <c r="U73" s="25"/>
      <c r="V73" s="25"/>
    </row>
  </sheetData>
  <mergeCells count="54">
    <mergeCell ref="P33:T33"/>
    <mergeCell ref="P52:T52"/>
    <mergeCell ref="C20:L20"/>
    <mergeCell ref="P46:T46"/>
    <mergeCell ref="P47:T47"/>
    <mergeCell ref="P48:T48"/>
    <mergeCell ref="P49:T49"/>
    <mergeCell ref="P50:T50"/>
    <mergeCell ref="P51:T51"/>
    <mergeCell ref="P40:T40"/>
    <mergeCell ref="P41:T41"/>
    <mergeCell ref="P42:T42"/>
    <mergeCell ref="P43:T43"/>
    <mergeCell ref="P44:T44"/>
    <mergeCell ref="P45:T45"/>
    <mergeCell ref="H55:N55"/>
    <mergeCell ref="O55:V55"/>
    <mergeCell ref="P22:T22"/>
    <mergeCell ref="P23:T23"/>
    <mergeCell ref="P24:T24"/>
    <mergeCell ref="P25:T25"/>
    <mergeCell ref="P26:T26"/>
    <mergeCell ref="P36:T36"/>
    <mergeCell ref="P37:T37"/>
    <mergeCell ref="P38:T38"/>
    <mergeCell ref="P39:T39"/>
    <mergeCell ref="P28:T28"/>
    <mergeCell ref="P29:T29"/>
    <mergeCell ref="P30:T30"/>
    <mergeCell ref="P31:T31"/>
    <mergeCell ref="P35:T35"/>
    <mergeCell ref="E62:Q62"/>
    <mergeCell ref="R62:S63"/>
    <mergeCell ref="T62:T63"/>
    <mergeCell ref="U62:U63"/>
    <mergeCell ref="V62:V63"/>
    <mergeCell ref="L63:O63"/>
    <mergeCell ref="P63:Q63"/>
    <mergeCell ref="A54:G54"/>
    <mergeCell ref="H54:N54"/>
    <mergeCell ref="O54:V54"/>
    <mergeCell ref="A55:G55"/>
    <mergeCell ref="A1:E3"/>
    <mergeCell ref="F1:Q1"/>
    <mergeCell ref="R1:V3"/>
    <mergeCell ref="A6:V6"/>
    <mergeCell ref="A5:V5"/>
    <mergeCell ref="P32:T32"/>
    <mergeCell ref="A18:V18"/>
    <mergeCell ref="A20:B20"/>
    <mergeCell ref="M20:O20"/>
    <mergeCell ref="P20:T21"/>
    <mergeCell ref="P27:T27"/>
    <mergeCell ref="P34:T34"/>
  </mergeCells>
  <pageMargins left="1.4960629921259843" right="0.23622047244094491" top="0.74803149606299213" bottom="0.74803149606299213" header="0.31496062992125984" footer="0.31496062992125984"/>
  <pageSetup paperSize="9" scale="71" orientation="portrait" r:id="rId1"/>
  <headerFooter>
    <oddFooter>&amp;R_x000D_&amp;1#&amp;"Calibri"&amp;10&amp;K000000 Publik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I39"/>
  <sheetViews>
    <sheetView view="pageBreakPreview" zoomScaleSheetLayoutView="100" workbookViewId="0">
      <selection activeCell="A29" sqref="A29:G29"/>
    </sheetView>
  </sheetViews>
  <sheetFormatPr defaultRowHeight="15" outlineLevelCol="1" x14ac:dyDescent="0.25"/>
  <cols>
    <col min="1" max="1" width="3.5703125" style="1" bestFit="1" customWidth="1"/>
    <col min="2" max="2" width="23.28515625" bestFit="1" customWidth="1"/>
    <col min="3" max="3" width="3.5703125" style="1" bestFit="1" customWidth="1"/>
    <col min="4" max="4" width="32.42578125" bestFit="1" customWidth="1"/>
    <col min="5" max="5" width="12" style="1" hidden="1" customWidth="1" outlineLevel="1"/>
    <col min="6" max="6" width="16.5703125" style="1" customWidth="1" collapsed="1"/>
    <col min="7" max="7" width="12" style="1" hidden="1" customWidth="1" outlineLevel="1"/>
    <col min="8" max="8" width="10.5703125" style="1" bestFit="1" customWidth="1" collapsed="1"/>
    <col min="9" max="9" width="13.7109375" bestFit="1" customWidth="1"/>
    <col min="11" max="11" width="16" bestFit="1" customWidth="1"/>
    <col min="12" max="12" width="6.28515625" bestFit="1" customWidth="1"/>
  </cols>
  <sheetData>
    <row r="1" spans="1:9" x14ac:dyDescent="0.25">
      <c r="A1" s="13" t="s">
        <v>54</v>
      </c>
    </row>
    <row r="3" spans="1:9" x14ac:dyDescent="0.25">
      <c r="A3" s="5" t="s">
        <v>3</v>
      </c>
      <c r="B3" s="5" t="s">
        <v>19</v>
      </c>
      <c r="C3" s="5" t="s">
        <v>3</v>
      </c>
      <c r="D3" s="5" t="s">
        <v>23</v>
      </c>
      <c r="E3" s="5" t="s">
        <v>20</v>
      </c>
      <c r="F3" s="7" t="s">
        <v>43</v>
      </c>
      <c r="G3" s="5" t="s">
        <v>18</v>
      </c>
      <c r="H3" s="5" t="s">
        <v>45</v>
      </c>
      <c r="I3" s="5" t="s">
        <v>46</v>
      </c>
    </row>
    <row r="4" spans="1:9" x14ac:dyDescent="0.25">
      <c r="A4" s="8">
        <v>1</v>
      </c>
      <c r="B4" s="12" t="s">
        <v>21</v>
      </c>
      <c r="C4" s="8" t="s">
        <v>9</v>
      </c>
      <c r="D4" s="12" t="s">
        <v>22</v>
      </c>
      <c r="E4" s="8">
        <f>100/2</f>
        <v>50</v>
      </c>
      <c r="F4" s="2">
        <v>1</v>
      </c>
      <c r="G4" s="8">
        <f>E4*F4</f>
        <v>50</v>
      </c>
      <c r="H4" s="8">
        <f>SUM(G4:G5)</f>
        <v>100</v>
      </c>
      <c r="I4" s="8" t="str">
        <f>IF(H4&gt;66.67,"ACC",IF(H4&lt;33.34,"RJT","AWR"))</f>
        <v>ACC</v>
      </c>
    </row>
    <row r="5" spans="1:9" x14ac:dyDescent="0.25">
      <c r="A5" s="2"/>
      <c r="B5" s="10"/>
      <c r="C5" s="2" t="s">
        <v>10</v>
      </c>
      <c r="D5" s="10" t="s">
        <v>24</v>
      </c>
      <c r="E5" s="2">
        <f>100/2</f>
        <v>50</v>
      </c>
      <c r="F5" s="2">
        <v>1</v>
      </c>
      <c r="G5" s="2">
        <f>E5*F5</f>
        <v>50</v>
      </c>
      <c r="H5" s="2"/>
      <c r="I5" s="10"/>
    </row>
    <row r="6" spans="1:9" x14ac:dyDescent="0.25">
      <c r="A6" s="9"/>
      <c r="B6" s="11"/>
      <c r="C6" s="9"/>
      <c r="D6" s="11"/>
      <c r="E6" s="9"/>
      <c r="F6" s="9"/>
      <c r="G6" s="9"/>
      <c r="H6" s="9"/>
      <c r="I6" s="11"/>
    </row>
    <row r="7" spans="1:9" x14ac:dyDescent="0.25">
      <c r="A7" s="8">
        <v>2</v>
      </c>
      <c r="B7" s="12" t="s">
        <v>25</v>
      </c>
      <c r="C7" s="8" t="s">
        <v>9</v>
      </c>
      <c r="D7" s="12" t="s">
        <v>12</v>
      </c>
      <c r="E7" s="8">
        <f>100/4</f>
        <v>25</v>
      </c>
      <c r="F7" s="8">
        <v>1</v>
      </c>
      <c r="G7" s="8">
        <f t="shared" ref="G7:G10" si="0">E7*F7</f>
        <v>25</v>
      </c>
      <c r="H7" s="8">
        <f>SUM(G7:G10)</f>
        <v>100</v>
      </c>
      <c r="I7" s="8" t="str">
        <f>IF(H7&gt;66.67,"ACC",IF(H7&lt;33.34,"RJT","AWR"))</f>
        <v>ACC</v>
      </c>
    </row>
    <row r="8" spans="1:9" x14ac:dyDescent="0.25">
      <c r="A8" s="2"/>
      <c r="B8" s="10"/>
      <c r="C8" s="2" t="s">
        <v>10</v>
      </c>
      <c r="D8" s="10" t="s">
        <v>26</v>
      </c>
      <c r="E8" s="2">
        <f t="shared" ref="E8:E10" si="1">100/4</f>
        <v>25</v>
      </c>
      <c r="F8" s="2">
        <v>1</v>
      </c>
      <c r="G8" s="2">
        <f t="shared" si="0"/>
        <v>25</v>
      </c>
      <c r="H8" s="2"/>
      <c r="I8" s="10"/>
    </row>
    <row r="9" spans="1:9" x14ac:dyDescent="0.25">
      <c r="A9" s="2"/>
      <c r="B9" s="10"/>
      <c r="C9" s="2" t="s">
        <v>11</v>
      </c>
      <c r="D9" s="10" t="s">
        <v>6</v>
      </c>
      <c r="E9" s="2">
        <f t="shared" si="1"/>
        <v>25</v>
      </c>
      <c r="F9" s="2">
        <v>1</v>
      </c>
      <c r="G9" s="2">
        <f t="shared" si="0"/>
        <v>25</v>
      </c>
      <c r="H9" s="2"/>
      <c r="I9" s="10"/>
    </row>
    <row r="10" spans="1:9" x14ac:dyDescent="0.25">
      <c r="A10" s="2"/>
      <c r="B10" s="10"/>
      <c r="C10" s="2" t="s">
        <v>13</v>
      </c>
      <c r="D10" s="10" t="s">
        <v>7</v>
      </c>
      <c r="E10" s="2">
        <f t="shared" si="1"/>
        <v>25</v>
      </c>
      <c r="F10" s="2">
        <v>1</v>
      </c>
      <c r="G10" s="2">
        <f t="shared" si="0"/>
        <v>25</v>
      </c>
      <c r="H10" s="2"/>
      <c r="I10" s="10"/>
    </row>
    <row r="11" spans="1:9" x14ac:dyDescent="0.25">
      <c r="A11" s="9"/>
      <c r="B11" s="11"/>
      <c r="C11" s="9"/>
      <c r="D11" s="11"/>
      <c r="E11" s="9"/>
      <c r="F11" s="9"/>
      <c r="G11" s="9"/>
      <c r="H11" s="9"/>
      <c r="I11" s="11"/>
    </row>
    <row r="12" spans="1:9" x14ac:dyDescent="0.25">
      <c r="A12" s="8">
        <v>3</v>
      </c>
      <c r="B12" s="12" t="s">
        <v>27</v>
      </c>
      <c r="C12" s="8" t="s">
        <v>9</v>
      </c>
      <c r="D12" s="12" t="s">
        <v>28</v>
      </c>
      <c r="E12" s="8">
        <f>100/7</f>
        <v>14.285714285714286</v>
      </c>
      <c r="F12" s="2">
        <v>1</v>
      </c>
      <c r="G12" s="8">
        <f t="shared" ref="G12:G18" si="2">E12*F12</f>
        <v>14.285714285714286</v>
      </c>
      <c r="H12" s="8">
        <f>SUM(G12:G18)</f>
        <v>100.00000000000001</v>
      </c>
      <c r="I12" s="8" t="str">
        <f>IF(H12&gt;66.67,"ACC",IF(H12&lt;33.34,"RJT","AWR"))</f>
        <v>ACC</v>
      </c>
    </row>
    <row r="13" spans="1:9" x14ac:dyDescent="0.25">
      <c r="A13" s="2"/>
      <c r="B13" s="10"/>
      <c r="C13" s="2" t="s">
        <v>10</v>
      </c>
      <c r="D13" s="10" t="s">
        <v>29</v>
      </c>
      <c r="E13" s="2">
        <f t="shared" ref="E13:E18" si="3">100/7</f>
        <v>14.285714285714286</v>
      </c>
      <c r="F13" s="2">
        <v>1</v>
      </c>
      <c r="G13" s="2">
        <f t="shared" si="2"/>
        <v>14.285714285714286</v>
      </c>
      <c r="H13" s="2"/>
      <c r="I13" s="10"/>
    </row>
    <row r="14" spans="1:9" x14ac:dyDescent="0.25">
      <c r="A14" s="2"/>
      <c r="B14" s="10"/>
      <c r="C14" s="2" t="s">
        <v>11</v>
      </c>
      <c r="D14" s="10" t="s">
        <v>30</v>
      </c>
      <c r="E14" s="2">
        <f t="shared" si="3"/>
        <v>14.285714285714286</v>
      </c>
      <c r="F14" s="2">
        <v>1</v>
      </c>
      <c r="G14" s="2">
        <f t="shared" si="2"/>
        <v>14.285714285714286</v>
      </c>
      <c r="H14" s="2"/>
      <c r="I14" s="10"/>
    </row>
    <row r="15" spans="1:9" x14ac:dyDescent="0.25">
      <c r="A15" s="2"/>
      <c r="B15" s="10"/>
      <c r="C15" s="2" t="s">
        <v>13</v>
      </c>
      <c r="D15" s="10" t="s">
        <v>14</v>
      </c>
      <c r="E15" s="2">
        <f t="shared" si="3"/>
        <v>14.285714285714286</v>
      </c>
      <c r="F15" s="2">
        <v>1</v>
      </c>
      <c r="G15" s="2">
        <f t="shared" si="2"/>
        <v>14.285714285714286</v>
      </c>
      <c r="H15" s="2"/>
      <c r="I15" s="10"/>
    </row>
    <row r="16" spans="1:9" x14ac:dyDescent="0.25">
      <c r="A16" s="2"/>
      <c r="B16" s="10"/>
      <c r="C16" s="2" t="s">
        <v>15</v>
      </c>
      <c r="D16" s="10" t="s">
        <v>31</v>
      </c>
      <c r="E16" s="2">
        <f t="shared" si="3"/>
        <v>14.285714285714286</v>
      </c>
      <c r="F16" s="2">
        <v>1</v>
      </c>
      <c r="G16" s="2">
        <f t="shared" si="2"/>
        <v>14.285714285714286</v>
      </c>
      <c r="H16" s="2"/>
      <c r="I16" s="10"/>
    </row>
    <row r="17" spans="1:9" x14ac:dyDescent="0.25">
      <c r="A17" s="2"/>
      <c r="B17" s="10"/>
      <c r="C17" s="2" t="s">
        <v>32</v>
      </c>
      <c r="D17" s="10" t="s">
        <v>33</v>
      </c>
      <c r="E17" s="2">
        <f t="shared" si="3"/>
        <v>14.285714285714286</v>
      </c>
      <c r="F17" s="2">
        <v>1</v>
      </c>
      <c r="G17" s="2">
        <f t="shared" si="2"/>
        <v>14.285714285714286</v>
      </c>
      <c r="H17" s="2"/>
      <c r="I17" s="10"/>
    </row>
    <row r="18" spans="1:9" x14ac:dyDescent="0.25">
      <c r="A18" s="2"/>
      <c r="B18" s="10"/>
      <c r="C18" s="2" t="s">
        <v>34</v>
      </c>
      <c r="D18" s="10" t="s">
        <v>35</v>
      </c>
      <c r="E18" s="2">
        <f t="shared" si="3"/>
        <v>14.285714285714286</v>
      </c>
      <c r="F18" s="2">
        <v>1</v>
      </c>
      <c r="G18" s="2">
        <f t="shared" si="2"/>
        <v>14.285714285714286</v>
      </c>
      <c r="H18" s="2"/>
      <c r="I18" s="10"/>
    </row>
    <row r="19" spans="1:9" x14ac:dyDescent="0.25">
      <c r="A19" s="9"/>
      <c r="B19" s="11"/>
      <c r="C19" s="9"/>
      <c r="D19" s="11"/>
      <c r="E19" s="9"/>
      <c r="F19" s="9"/>
      <c r="G19" s="9"/>
      <c r="H19" s="9"/>
      <c r="I19" s="11"/>
    </row>
    <row r="20" spans="1:9" x14ac:dyDescent="0.25">
      <c r="A20" s="8">
        <v>4</v>
      </c>
      <c r="B20" s="12" t="s">
        <v>8</v>
      </c>
      <c r="C20" s="8" t="s">
        <v>9</v>
      </c>
      <c r="D20" s="12" t="s">
        <v>36</v>
      </c>
      <c r="E20" s="8">
        <f>100/3</f>
        <v>33.333333333333336</v>
      </c>
      <c r="F20" s="8">
        <v>1</v>
      </c>
      <c r="G20" s="8">
        <f t="shared" ref="G20:G22" si="4">E20*F20</f>
        <v>33.333333333333336</v>
      </c>
      <c r="H20" s="8">
        <f>SUM(G20:G22)</f>
        <v>100</v>
      </c>
      <c r="I20" s="8" t="str">
        <f>IF(H20&gt;66.67,"ACC",IF(H20&lt;33.34,"RJT","AWR"))</f>
        <v>ACC</v>
      </c>
    </row>
    <row r="21" spans="1:9" x14ac:dyDescent="0.25">
      <c r="A21" s="2"/>
      <c r="B21" s="10"/>
      <c r="C21" s="2" t="s">
        <v>10</v>
      </c>
      <c r="D21" s="10" t="s">
        <v>2</v>
      </c>
      <c r="E21" s="2">
        <f t="shared" ref="E21:E22" si="5">100/3</f>
        <v>33.333333333333336</v>
      </c>
      <c r="F21" s="2">
        <v>1</v>
      </c>
      <c r="G21" s="2">
        <f t="shared" si="4"/>
        <v>33.333333333333336</v>
      </c>
      <c r="H21" s="2"/>
      <c r="I21" s="10"/>
    </row>
    <row r="22" spans="1:9" x14ac:dyDescent="0.25">
      <c r="A22" s="2"/>
      <c r="B22" s="10"/>
      <c r="C22" s="2" t="s">
        <v>11</v>
      </c>
      <c r="D22" s="10" t="s">
        <v>37</v>
      </c>
      <c r="E22" s="2">
        <f t="shared" si="5"/>
        <v>33.333333333333336</v>
      </c>
      <c r="F22" s="2">
        <v>1</v>
      </c>
      <c r="G22" s="2">
        <f t="shared" si="4"/>
        <v>33.333333333333336</v>
      </c>
      <c r="H22" s="2"/>
      <c r="I22" s="10"/>
    </row>
    <row r="23" spans="1:9" x14ac:dyDescent="0.25">
      <c r="A23" s="9"/>
      <c r="B23" s="11"/>
      <c r="C23" s="9"/>
      <c r="D23" s="11"/>
      <c r="E23" s="9"/>
      <c r="F23" s="9"/>
      <c r="G23" s="9"/>
      <c r="H23" s="9"/>
      <c r="I23" s="11"/>
    </row>
    <row r="24" spans="1:9" x14ac:dyDescent="0.25">
      <c r="A24" s="2">
        <v>5</v>
      </c>
      <c r="B24" s="10" t="s">
        <v>38</v>
      </c>
      <c r="C24" s="2" t="s">
        <v>9</v>
      </c>
      <c r="D24" s="10" t="s">
        <v>39</v>
      </c>
      <c r="E24" s="2">
        <f>100/5</f>
        <v>20</v>
      </c>
      <c r="F24" s="2">
        <v>1</v>
      </c>
      <c r="G24" s="2">
        <f t="shared" ref="G24:G28" si="6">E24*F24</f>
        <v>20</v>
      </c>
      <c r="H24" s="2">
        <f>SUM(G24:G28)</f>
        <v>100</v>
      </c>
      <c r="I24" s="2" t="str">
        <f>IF(H24&gt;66.67,"ACC",IF(H24&lt;33.34,"RJT","AWR"))</f>
        <v>ACC</v>
      </c>
    </row>
    <row r="25" spans="1:9" x14ac:dyDescent="0.25">
      <c r="A25" s="2"/>
      <c r="B25" s="10"/>
      <c r="C25" s="2" t="s">
        <v>10</v>
      </c>
      <c r="D25" s="10" t="s">
        <v>16</v>
      </c>
      <c r="E25" s="2">
        <f t="shared" ref="E25:E28" si="7">100/5</f>
        <v>20</v>
      </c>
      <c r="F25" s="2">
        <v>1</v>
      </c>
      <c r="G25" s="2">
        <f t="shared" si="6"/>
        <v>20</v>
      </c>
      <c r="H25" s="2"/>
      <c r="I25" s="10"/>
    </row>
    <row r="26" spans="1:9" x14ac:dyDescent="0.25">
      <c r="A26" s="2"/>
      <c r="B26" s="10"/>
      <c r="C26" s="2" t="s">
        <v>11</v>
      </c>
      <c r="D26" s="10" t="s">
        <v>40</v>
      </c>
      <c r="E26" s="2">
        <f t="shared" si="7"/>
        <v>20</v>
      </c>
      <c r="F26" s="2">
        <v>1</v>
      </c>
      <c r="G26" s="2">
        <f t="shared" si="6"/>
        <v>20</v>
      </c>
      <c r="H26" s="2"/>
      <c r="I26" s="10"/>
    </row>
    <row r="27" spans="1:9" x14ac:dyDescent="0.25">
      <c r="A27" s="2"/>
      <c r="B27" s="10"/>
      <c r="C27" s="2" t="s">
        <v>13</v>
      </c>
      <c r="D27" s="10" t="s">
        <v>41</v>
      </c>
      <c r="E27" s="2">
        <f t="shared" si="7"/>
        <v>20</v>
      </c>
      <c r="F27" s="2">
        <v>1</v>
      </c>
      <c r="G27" s="2">
        <f t="shared" si="6"/>
        <v>20</v>
      </c>
      <c r="H27" s="2"/>
      <c r="I27" s="10"/>
    </row>
    <row r="28" spans="1:9" x14ac:dyDescent="0.25">
      <c r="A28" s="9"/>
      <c r="B28" s="11"/>
      <c r="C28" s="9" t="s">
        <v>15</v>
      </c>
      <c r="D28" s="11" t="s">
        <v>42</v>
      </c>
      <c r="E28" s="9">
        <f t="shared" si="7"/>
        <v>20</v>
      </c>
      <c r="F28" s="2">
        <v>1</v>
      </c>
      <c r="G28" s="9">
        <f t="shared" si="6"/>
        <v>20</v>
      </c>
      <c r="H28" s="9"/>
      <c r="I28" s="11"/>
    </row>
    <row r="29" spans="1:9" ht="30" customHeight="1" x14ac:dyDescent="0.25">
      <c r="A29" s="251" t="s">
        <v>47</v>
      </c>
      <c r="B29" s="252"/>
      <c r="C29" s="252"/>
      <c r="D29" s="252"/>
      <c r="E29" s="252"/>
      <c r="F29" s="252"/>
      <c r="G29" s="253"/>
      <c r="H29" s="6">
        <f>SUM(H24,H20,H12,H7,H4)</f>
        <v>500</v>
      </c>
      <c r="I29" s="20" t="str">
        <f>IF(H29&gt;333.35,"Accepted",IF(H29&lt;166.68,"Rejected","Accepted With Rectification"))</f>
        <v>Accepted</v>
      </c>
    </row>
    <row r="31" spans="1:9" x14ac:dyDescent="0.25">
      <c r="D31" s="16" t="s">
        <v>48</v>
      </c>
      <c r="E31" s="17"/>
      <c r="F31" s="7" t="s">
        <v>49</v>
      </c>
    </row>
    <row r="32" spans="1:9" x14ac:dyDescent="0.25">
      <c r="D32" s="14" t="s">
        <v>4</v>
      </c>
      <c r="E32" s="15"/>
      <c r="F32" s="18" t="s">
        <v>51</v>
      </c>
    </row>
    <row r="33" spans="4:6" x14ac:dyDescent="0.25">
      <c r="D33" s="14" t="s">
        <v>50</v>
      </c>
      <c r="E33" s="15"/>
      <c r="F33" s="4" t="s">
        <v>52</v>
      </c>
    </row>
    <row r="34" spans="4:6" x14ac:dyDescent="0.25">
      <c r="D34" s="14" t="s">
        <v>5</v>
      </c>
      <c r="E34" s="15"/>
      <c r="F34" s="19" t="s">
        <v>53</v>
      </c>
    </row>
    <row r="36" spans="4:6" x14ac:dyDescent="0.25">
      <c r="D36" s="16" t="s">
        <v>43</v>
      </c>
      <c r="E36" s="17"/>
      <c r="F36" s="7" t="s">
        <v>20</v>
      </c>
    </row>
    <row r="37" spans="4:6" x14ac:dyDescent="0.25">
      <c r="D37" s="14" t="s">
        <v>44</v>
      </c>
      <c r="E37" s="15"/>
      <c r="F37" s="6">
        <v>1</v>
      </c>
    </row>
    <row r="38" spans="4:6" x14ac:dyDescent="0.25">
      <c r="D38" s="14" t="s">
        <v>0</v>
      </c>
      <c r="E38" s="15"/>
      <c r="F38" s="6">
        <v>0.5</v>
      </c>
    </row>
    <row r="39" spans="4:6" x14ac:dyDescent="0.25">
      <c r="D39" s="14" t="s">
        <v>1</v>
      </c>
      <c r="E39" s="15"/>
      <c r="F39" s="6">
        <v>0</v>
      </c>
    </row>
  </sheetData>
  <mergeCells count="1">
    <mergeCell ref="A29:G29"/>
  </mergeCells>
  <conditionalFormatting sqref="I4:I29">
    <cfRule type="cellIs" dxfId="27" priority="4" operator="equal">
      <formula>"ACC"</formula>
    </cfRule>
    <cfRule type="cellIs" dxfId="26" priority="5" operator="equal">
      <formula>"AWR"</formula>
    </cfRule>
    <cfRule type="cellIs" dxfId="25" priority="6" operator="equal">
      <formula>"RJT"</formula>
    </cfRule>
  </conditionalFormatting>
  <conditionalFormatting sqref="I29">
    <cfRule type="cellIs" dxfId="24" priority="1" operator="equal">
      <formula>"Rejected"</formula>
    </cfRule>
    <cfRule type="cellIs" dxfId="23" priority="2" operator="equal">
      <formula>"Accepted With Rectification"</formula>
    </cfRule>
    <cfRule type="cellIs" dxfId="22" priority="3" operator="equal">
      <formula>"Accepted"</formula>
    </cfRule>
  </conditionalFormatting>
  <pageMargins left="0.70866141732283472" right="0.70866141732283472" top="0.74803149606299213" bottom="0.74803149606299213" header="0.31496062992125984" footer="0.31496062992125984"/>
  <pageSetup paperSize="9" scale="84" orientation="portrait" r:id="rId1"/>
  <headerFooter>
    <oddFooter>&amp;R_x000D_&amp;1#&amp;"Calibri"&amp;10&amp;K000000 Publik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BC4F0-273E-4404-86BE-804983206BE0}">
  <dimension ref="C3:L29"/>
  <sheetViews>
    <sheetView tabSelected="1" workbookViewId="0">
      <selection activeCell="H19" sqref="H19"/>
    </sheetView>
  </sheetViews>
  <sheetFormatPr defaultRowHeight="15" x14ac:dyDescent="0.25"/>
  <cols>
    <col min="1" max="1" width="4.28515625" customWidth="1"/>
    <col min="2" max="2" width="2.42578125" customWidth="1"/>
    <col min="3" max="3" width="5" customWidth="1"/>
    <col min="4" max="4" width="25.7109375" style="85" customWidth="1"/>
    <col min="5" max="5" width="2.28515625" customWidth="1"/>
    <col min="6" max="6" width="35.7109375" customWidth="1"/>
    <col min="7" max="7" width="9.5703125" customWidth="1"/>
    <col min="8" max="8" width="26.42578125" customWidth="1"/>
    <col min="10" max="10" width="13" customWidth="1"/>
    <col min="11" max="11" width="13.7109375" customWidth="1"/>
    <col min="12" max="12" width="43.7109375" customWidth="1"/>
  </cols>
  <sheetData>
    <row r="3" spans="3:12" ht="28.5" x14ac:dyDescent="0.25">
      <c r="C3" s="119" t="s">
        <v>159</v>
      </c>
      <c r="D3" s="119"/>
      <c r="E3" s="120"/>
      <c r="F3" s="120"/>
      <c r="G3" s="120"/>
      <c r="H3" s="120"/>
      <c r="I3" s="120"/>
      <c r="J3" s="120"/>
      <c r="K3" s="120"/>
      <c r="L3" s="120"/>
    </row>
    <row r="5" spans="3:12" ht="15.75" x14ac:dyDescent="0.25">
      <c r="C5" s="121" t="s">
        <v>144</v>
      </c>
      <c r="D5" s="122"/>
      <c r="E5" s="121" t="s">
        <v>65</v>
      </c>
      <c r="F5" s="123"/>
      <c r="G5" s="121"/>
      <c r="H5" s="121"/>
    </row>
    <row r="6" spans="3:12" ht="15.75" x14ac:dyDescent="0.25">
      <c r="C6" s="124" t="s">
        <v>160</v>
      </c>
      <c r="D6" s="122"/>
      <c r="E6" s="121" t="s">
        <v>65</v>
      </c>
      <c r="F6" s="125"/>
      <c r="G6" s="121"/>
    </row>
    <row r="7" spans="3:12" ht="15.75" x14ac:dyDescent="0.25">
      <c r="C7" s="124" t="s">
        <v>161</v>
      </c>
      <c r="D7" s="122"/>
      <c r="E7" s="121" t="s">
        <v>65</v>
      </c>
      <c r="F7" s="125"/>
      <c r="G7" s="121"/>
    </row>
    <row r="8" spans="3:12" ht="15.75" x14ac:dyDescent="0.25">
      <c r="C8" s="121" t="s">
        <v>57</v>
      </c>
      <c r="D8" s="122"/>
      <c r="E8" s="121" t="s">
        <v>65</v>
      </c>
      <c r="F8" s="125"/>
      <c r="G8" s="121"/>
    </row>
    <row r="9" spans="3:12" ht="15.75" x14ac:dyDescent="0.25">
      <c r="C9" s="121" t="s">
        <v>178</v>
      </c>
      <c r="D9" s="122"/>
      <c r="E9" s="121" t="s">
        <v>65</v>
      </c>
      <c r="F9" s="185"/>
      <c r="G9" s="121" t="s">
        <v>162</v>
      </c>
      <c r="H9" s="185"/>
    </row>
    <row r="10" spans="3:12" ht="15.75" x14ac:dyDescent="0.25">
      <c r="C10" s="121" t="s">
        <v>218</v>
      </c>
      <c r="D10" s="122"/>
      <c r="E10" s="121" t="s">
        <v>65</v>
      </c>
      <c r="F10" s="185"/>
      <c r="G10" s="121" t="s">
        <v>162</v>
      </c>
      <c r="H10" s="185"/>
    </row>
    <row r="11" spans="3:12" ht="15.75" x14ac:dyDescent="0.25">
      <c r="C11" s="121" t="s">
        <v>163</v>
      </c>
      <c r="D11" s="122"/>
      <c r="E11" s="121" t="s">
        <v>65</v>
      </c>
      <c r="F11" s="126"/>
      <c r="G11" s="121"/>
    </row>
    <row r="12" spans="3:12" ht="15.75" x14ac:dyDescent="0.25">
      <c r="C12" s="127" t="s">
        <v>164</v>
      </c>
      <c r="D12" s="122"/>
      <c r="E12" s="121" t="s">
        <v>65</v>
      </c>
      <c r="F12" s="128"/>
      <c r="G12" s="129"/>
      <c r="H12" s="3"/>
      <c r="I12" s="3"/>
      <c r="J12" s="3"/>
    </row>
    <row r="13" spans="3:12" ht="15.75" x14ac:dyDescent="0.25">
      <c r="C13" s="121" t="s">
        <v>165</v>
      </c>
      <c r="D13" s="122"/>
      <c r="E13" s="121" t="s">
        <v>65</v>
      </c>
      <c r="F13" s="256"/>
      <c r="G13" s="257"/>
      <c r="H13" s="257"/>
      <c r="I13" s="257"/>
      <c r="J13" s="258"/>
    </row>
    <row r="14" spans="3:12" ht="15.75" x14ac:dyDescent="0.25">
      <c r="C14" s="121" t="s">
        <v>166</v>
      </c>
      <c r="D14" s="122"/>
      <c r="E14" s="121" t="s">
        <v>65</v>
      </c>
      <c r="F14" s="130" t="s">
        <v>167</v>
      </c>
      <c r="G14" s="259"/>
      <c r="H14" s="260"/>
    </row>
    <row r="15" spans="3:12" ht="15.75" x14ac:dyDescent="0.25">
      <c r="C15" s="121"/>
      <c r="D15" s="122"/>
      <c r="E15" s="121"/>
      <c r="F15" s="130" t="s">
        <v>168</v>
      </c>
      <c r="G15" s="261"/>
      <c r="H15" s="262"/>
    </row>
    <row r="16" spans="3:12" ht="15.75" x14ac:dyDescent="0.25">
      <c r="C16" s="121" t="s">
        <v>157</v>
      </c>
      <c r="D16" s="122"/>
      <c r="E16" s="121" t="s">
        <v>65</v>
      </c>
      <c r="F16" s="125"/>
      <c r="G16" s="121"/>
    </row>
    <row r="17" spans="3:8" ht="15.75" x14ac:dyDescent="0.25">
      <c r="C17" s="121" t="s">
        <v>158</v>
      </c>
      <c r="D17" s="122"/>
      <c r="E17" s="121" t="s">
        <v>169</v>
      </c>
      <c r="F17" s="131"/>
      <c r="G17" s="121"/>
    </row>
    <row r="18" spans="3:8" ht="15.75" x14ac:dyDescent="0.25">
      <c r="C18" s="121" t="s">
        <v>170</v>
      </c>
      <c r="D18" s="122"/>
      <c r="E18" s="121" t="s">
        <v>169</v>
      </c>
      <c r="F18" s="131" t="s">
        <v>219</v>
      </c>
      <c r="G18" s="121"/>
    </row>
    <row r="19" spans="3:8" ht="15.75" x14ac:dyDescent="0.25">
      <c r="C19" s="121" t="s">
        <v>147</v>
      </c>
      <c r="D19" s="122"/>
      <c r="E19" s="121" t="s">
        <v>65</v>
      </c>
      <c r="F19" s="132"/>
      <c r="G19" s="121"/>
    </row>
    <row r="20" spans="3:8" ht="15.75" x14ac:dyDescent="0.25">
      <c r="C20" s="121"/>
      <c r="D20" s="122"/>
      <c r="E20" s="121"/>
      <c r="F20" s="132"/>
      <c r="G20" s="121"/>
    </row>
    <row r="21" spans="3:8" ht="15.75" x14ac:dyDescent="0.25">
      <c r="C21" s="263" t="str">
        <f>F18</f>
        <v>PT. TRITECH CONSULT INDONESIA</v>
      </c>
      <c r="D21" s="264"/>
      <c r="E21" s="264"/>
      <c r="F21" s="265"/>
      <c r="G21" s="121"/>
    </row>
    <row r="22" spans="3:8" ht="15.75" x14ac:dyDescent="0.25">
      <c r="C22" s="133" t="s">
        <v>171</v>
      </c>
      <c r="D22" s="134"/>
      <c r="E22" s="133" t="s">
        <v>65</v>
      </c>
      <c r="F22" s="135"/>
      <c r="G22" s="121"/>
    </row>
    <row r="23" spans="3:8" ht="15.75" x14ac:dyDescent="0.25">
      <c r="C23" s="136" t="s">
        <v>172</v>
      </c>
      <c r="D23" s="134"/>
      <c r="E23" s="133" t="s">
        <v>65</v>
      </c>
      <c r="F23" s="135"/>
      <c r="G23" s="121"/>
    </row>
    <row r="24" spans="3:8" ht="15.75" x14ac:dyDescent="0.25">
      <c r="C24" s="121"/>
      <c r="D24" s="122"/>
      <c r="E24" s="121"/>
      <c r="F24" s="132"/>
      <c r="G24" s="121"/>
    </row>
    <row r="25" spans="3:8" ht="15.75" x14ac:dyDescent="0.25">
      <c r="C25" s="263" t="s">
        <v>173</v>
      </c>
      <c r="D25" s="264"/>
      <c r="E25" s="264"/>
      <c r="F25" s="265"/>
      <c r="H25" s="137"/>
    </row>
    <row r="26" spans="3:8" ht="15.75" x14ac:dyDescent="0.25">
      <c r="C26" s="254" t="s">
        <v>174</v>
      </c>
      <c r="D26" s="255"/>
      <c r="E26" s="133" t="s">
        <v>169</v>
      </c>
      <c r="F26" s="135"/>
    </row>
    <row r="27" spans="3:8" ht="15.75" x14ac:dyDescent="0.25">
      <c r="C27" s="254" t="s">
        <v>175</v>
      </c>
      <c r="D27" s="255"/>
      <c r="E27" s="138" t="s">
        <v>65</v>
      </c>
      <c r="F27" s="135"/>
    </row>
    <row r="28" spans="3:8" ht="15.75" x14ac:dyDescent="0.25">
      <c r="C28" s="254" t="s">
        <v>176</v>
      </c>
      <c r="D28" s="255"/>
      <c r="E28" s="138" t="s">
        <v>65</v>
      </c>
      <c r="F28" s="135"/>
    </row>
    <row r="29" spans="3:8" ht="15.75" x14ac:dyDescent="0.25">
      <c r="C29" s="254" t="s">
        <v>177</v>
      </c>
      <c r="D29" s="255"/>
      <c r="E29" s="133" t="s">
        <v>65</v>
      </c>
      <c r="F29" s="139"/>
    </row>
  </sheetData>
  <mergeCells count="9">
    <mergeCell ref="C27:D27"/>
    <mergeCell ref="C28:D28"/>
    <mergeCell ref="C29:D29"/>
    <mergeCell ref="F13:J13"/>
    <mergeCell ref="G14:H14"/>
    <mergeCell ref="G15:H15"/>
    <mergeCell ref="C21:F21"/>
    <mergeCell ref="C25:F25"/>
    <mergeCell ref="C26:D26"/>
  </mergeCells>
  <pageMargins left="0.7" right="0.7" top="0.75" bottom="0.75" header="0.3" footer="0.3"/>
  <pageSetup paperSize="9" orientation="portrait" horizontalDpi="0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D692A-3FC7-43C5-8021-FED934549F14}">
  <dimension ref="A1:I43"/>
  <sheetViews>
    <sheetView view="pageBreakPreview" topLeftCell="A4" zoomScaleNormal="100" zoomScaleSheetLayoutView="100" workbookViewId="0">
      <selection activeCell="D18" sqref="D18"/>
    </sheetView>
  </sheetViews>
  <sheetFormatPr defaultRowHeight="15" x14ac:dyDescent="0.25"/>
  <cols>
    <col min="1" max="1" width="13.42578125" bestFit="1" customWidth="1"/>
    <col min="2" max="2" width="5.7109375" customWidth="1"/>
    <col min="3" max="3" width="1.7109375" bestFit="1" customWidth="1"/>
    <col min="4" max="4" width="28.28515625" customWidth="1"/>
    <col min="5" max="5" width="10.7109375" customWidth="1"/>
    <col min="6" max="6" width="11.85546875" bestFit="1" customWidth="1"/>
    <col min="7" max="7" width="12.28515625" customWidth="1"/>
    <col min="8" max="8" width="30" customWidth="1"/>
    <col min="9" max="9" width="7.140625" bestFit="1" customWidth="1"/>
  </cols>
  <sheetData>
    <row r="1" spans="1:9" ht="31.5" x14ac:dyDescent="0.6">
      <c r="A1" s="91"/>
      <c r="B1" s="92"/>
      <c r="C1" s="92"/>
      <c r="D1" s="93"/>
      <c r="E1" s="94"/>
      <c r="F1" s="95"/>
      <c r="G1" s="96"/>
      <c r="H1" s="184" t="s">
        <v>179</v>
      </c>
    </row>
    <row r="2" spans="1:9" ht="31.5" x14ac:dyDescent="0.6">
      <c r="A2" s="96"/>
      <c r="B2" s="92"/>
      <c r="C2" s="92"/>
      <c r="D2" s="93"/>
      <c r="E2" s="94"/>
      <c r="F2" s="95"/>
      <c r="G2" s="96"/>
      <c r="H2" s="93"/>
      <c r="I2" s="96"/>
    </row>
    <row r="3" spans="1:9" ht="20.25" x14ac:dyDescent="0.25">
      <c r="A3" s="283" t="s">
        <v>180</v>
      </c>
      <c r="B3" s="283"/>
      <c r="C3" s="283"/>
      <c r="D3" s="283"/>
      <c r="E3" s="283"/>
      <c r="F3" s="283"/>
      <c r="G3" s="283"/>
      <c r="H3" s="283"/>
      <c r="I3" s="97"/>
    </row>
    <row r="4" spans="1:9" ht="20.25" x14ac:dyDescent="0.25">
      <c r="A4" s="98" t="s">
        <v>144</v>
      </c>
      <c r="B4" s="99"/>
      <c r="C4" s="99" t="s">
        <v>65</v>
      </c>
      <c r="D4" s="144">
        <f>MASTER!F5</f>
        <v>0</v>
      </c>
      <c r="E4" s="143"/>
      <c r="F4" s="143"/>
      <c r="G4" s="143"/>
      <c r="H4" s="143"/>
      <c r="I4" s="97"/>
    </row>
    <row r="5" spans="1:9" x14ac:dyDescent="0.25">
      <c r="A5" s="98" t="s">
        <v>145</v>
      </c>
      <c r="B5" s="99"/>
      <c r="C5" s="99" t="s">
        <v>65</v>
      </c>
      <c r="D5" s="145">
        <f>MASTER!F7</f>
        <v>0</v>
      </c>
      <c r="E5" s="99"/>
      <c r="F5" s="100"/>
      <c r="G5" s="100"/>
      <c r="H5" s="100"/>
      <c r="I5" s="100"/>
    </row>
    <row r="6" spans="1:9" x14ac:dyDescent="0.25">
      <c r="A6" s="98" t="s">
        <v>146</v>
      </c>
      <c r="B6" s="99"/>
      <c r="C6" s="99" t="s">
        <v>65</v>
      </c>
      <c r="D6" s="98">
        <f>MASTER!F8</f>
        <v>0</v>
      </c>
      <c r="E6" s="99"/>
      <c r="F6" s="100"/>
      <c r="G6" s="100"/>
      <c r="H6" s="100"/>
      <c r="I6" s="100"/>
    </row>
    <row r="7" spans="1:9" x14ac:dyDescent="0.25">
      <c r="A7" s="98" t="s">
        <v>147</v>
      </c>
      <c r="B7" s="99"/>
      <c r="C7" s="99" t="s">
        <v>65</v>
      </c>
      <c r="D7" s="146">
        <f>MASTER!F10</f>
        <v>0</v>
      </c>
      <c r="E7" s="147"/>
      <c r="F7" s="100"/>
      <c r="G7" s="100"/>
      <c r="H7" s="100"/>
      <c r="I7" s="100"/>
    </row>
    <row r="8" spans="1:9" ht="28.9" customHeight="1" thickBot="1" x14ac:dyDescent="0.3">
      <c r="A8" s="98"/>
      <c r="B8" s="99"/>
      <c r="C8" s="101"/>
      <c r="D8" s="100"/>
      <c r="E8" s="99"/>
      <c r="F8" s="100"/>
      <c r="G8" s="100"/>
      <c r="H8" s="100"/>
      <c r="I8" s="100"/>
    </row>
    <row r="9" spans="1:9" ht="18" x14ac:dyDescent="0.25">
      <c r="A9" s="284" t="s">
        <v>66</v>
      </c>
      <c r="B9" s="285"/>
      <c r="C9" s="148"/>
      <c r="D9" s="288" t="s">
        <v>148</v>
      </c>
      <c r="E9" s="290" t="s">
        <v>149</v>
      </c>
      <c r="F9" s="292" t="s">
        <v>150</v>
      </c>
      <c r="G9" s="292"/>
      <c r="H9" s="293" t="s">
        <v>151</v>
      </c>
      <c r="I9" s="97"/>
    </row>
    <row r="10" spans="1:9" x14ac:dyDescent="0.25">
      <c r="A10" s="286"/>
      <c r="B10" s="287"/>
      <c r="C10" s="102"/>
      <c r="D10" s="289"/>
      <c r="E10" s="291"/>
      <c r="F10" s="103" t="s">
        <v>152</v>
      </c>
      <c r="G10" s="103" t="s">
        <v>153</v>
      </c>
      <c r="H10" s="294"/>
      <c r="I10" s="97"/>
    </row>
    <row r="11" spans="1:9" x14ac:dyDescent="0.25">
      <c r="A11" s="149">
        <v>1</v>
      </c>
      <c r="B11" s="105"/>
      <c r="C11" s="106"/>
      <c r="D11" s="107" t="s">
        <v>181</v>
      </c>
      <c r="E11" s="104"/>
      <c r="F11" s="108"/>
      <c r="G11" s="109"/>
      <c r="H11" s="150"/>
      <c r="I11" s="110"/>
    </row>
    <row r="12" spans="1:9" x14ac:dyDescent="0.25">
      <c r="A12" s="149"/>
      <c r="B12" s="277">
        <v>1</v>
      </c>
      <c r="C12" s="279"/>
      <c r="D12" s="111" t="s">
        <v>182</v>
      </c>
      <c r="E12" s="112" t="s">
        <v>154</v>
      </c>
      <c r="F12" s="113"/>
      <c r="G12" s="113"/>
      <c r="H12" s="151"/>
      <c r="I12" s="110"/>
    </row>
    <row r="13" spans="1:9" x14ac:dyDescent="0.25">
      <c r="A13" s="149"/>
      <c r="B13" s="277">
        <v>2</v>
      </c>
      <c r="C13" s="282"/>
      <c r="D13" s="111" t="s">
        <v>183</v>
      </c>
      <c r="E13" s="112" t="s">
        <v>154</v>
      </c>
      <c r="F13" s="113"/>
      <c r="G13" s="113"/>
      <c r="H13" s="151"/>
      <c r="I13" s="110"/>
    </row>
    <row r="14" spans="1:9" ht="22.5" customHeight="1" x14ac:dyDescent="0.25">
      <c r="A14" s="149"/>
      <c r="B14" s="277">
        <v>3</v>
      </c>
      <c r="C14" s="279"/>
      <c r="D14" s="114" t="s">
        <v>184</v>
      </c>
      <c r="E14" s="112" t="s">
        <v>154</v>
      </c>
      <c r="F14" s="113"/>
      <c r="G14" s="113"/>
      <c r="H14" s="151"/>
      <c r="I14" s="110"/>
    </row>
    <row r="15" spans="1:9" ht="21.4" customHeight="1" x14ac:dyDescent="0.25">
      <c r="A15" s="149"/>
      <c r="B15" s="277">
        <f t="shared" ref="B15:B17" si="0">B14+1</f>
        <v>4</v>
      </c>
      <c r="C15" s="279"/>
      <c r="D15" s="114" t="s">
        <v>185</v>
      </c>
      <c r="E15" s="112" t="s">
        <v>154</v>
      </c>
      <c r="F15" s="113"/>
      <c r="G15" s="113"/>
      <c r="H15" s="151"/>
      <c r="I15" s="110"/>
    </row>
    <row r="16" spans="1:9" x14ac:dyDescent="0.25">
      <c r="A16" s="149"/>
      <c r="B16" s="277">
        <v>5</v>
      </c>
      <c r="C16" s="279"/>
      <c r="D16" s="111" t="s">
        <v>186</v>
      </c>
      <c r="E16" s="112" t="s">
        <v>154</v>
      </c>
      <c r="F16" s="113"/>
      <c r="G16" s="113"/>
      <c r="H16" s="151"/>
      <c r="I16" s="110"/>
    </row>
    <row r="17" spans="1:9" x14ac:dyDescent="0.25">
      <c r="A17" s="149"/>
      <c r="B17" s="277">
        <f t="shared" si="0"/>
        <v>6</v>
      </c>
      <c r="C17" s="279"/>
      <c r="D17" s="111" t="s">
        <v>187</v>
      </c>
      <c r="E17" s="112" t="s">
        <v>154</v>
      </c>
      <c r="F17" s="113"/>
      <c r="G17" s="113"/>
      <c r="H17" s="151"/>
      <c r="I17" s="110"/>
    </row>
    <row r="18" spans="1:9" x14ac:dyDescent="0.25">
      <c r="A18" s="152"/>
      <c r="B18" s="277">
        <v>7</v>
      </c>
      <c r="C18" s="279"/>
      <c r="D18" s="115" t="s">
        <v>188</v>
      </c>
      <c r="E18" s="112" t="s">
        <v>154</v>
      </c>
      <c r="F18" s="113"/>
      <c r="G18" s="113"/>
      <c r="H18" s="151"/>
      <c r="I18" s="110"/>
    </row>
    <row r="19" spans="1:9" x14ac:dyDescent="0.25">
      <c r="A19" s="149">
        <v>2</v>
      </c>
      <c r="B19" s="277">
        <v>8</v>
      </c>
      <c r="C19" s="279"/>
      <c r="D19" s="111" t="s">
        <v>189</v>
      </c>
      <c r="E19" s="112" t="s">
        <v>154</v>
      </c>
      <c r="F19" s="113"/>
      <c r="G19" s="113"/>
      <c r="H19" s="151"/>
      <c r="I19" s="110"/>
    </row>
    <row r="20" spans="1:9" x14ac:dyDescent="0.25">
      <c r="A20" s="152"/>
      <c r="B20" s="277"/>
      <c r="C20" s="279"/>
      <c r="D20" s="111"/>
      <c r="E20" s="112"/>
      <c r="F20" s="113"/>
      <c r="G20" s="113"/>
      <c r="H20" s="151"/>
      <c r="I20" s="110"/>
    </row>
    <row r="21" spans="1:9" x14ac:dyDescent="0.25">
      <c r="A21" s="152"/>
      <c r="B21" s="277"/>
      <c r="C21" s="279"/>
      <c r="D21" s="111"/>
      <c r="E21" s="112"/>
      <c r="F21" s="113"/>
      <c r="G21" s="113"/>
      <c r="H21" s="151"/>
      <c r="I21" s="110"/>
    </row>
    <row r="22" spans="1:9" x14ac:dyDescent="0.25">
      <c r="A22" s="152"/>
      <c r="B22" s="277"/>
      <c r="C22" s="279"/>
      <c r="D22" s="111"/>
      <c r="E22" s="112"/>
      <c r="F22" s="108"/>
      <c r="G22" s="109"/>
      <c r="H22" s="151"/>
      <c r="I22" s="110"/>
    </row>
    <row r="23" spans="1:9" x14ac:dyDescent="0.25">
      <c r="A23" s="149"/>
      <c r="B23" s="105"/>
      <c r="C23" s="106"/>
      <c r="D23" s="111"/>
      <c r="E23" s="104"/>
      <c r="F23" s="108"/>
      <c r="G23" s="111"/>
      <c r="H23" s="153"/>
      <c r="I23" s="116"/>
    </row>
    <row r="24" spans="1:9" ht="15.75" x14ac:dyDescent="0.25">
      <c r="A24" s="152"/>
      <c r="B24" s="277"/>
      <c r="C24" s="278"/>
      <c r="D24" s="111"/>
      <c r="E24" s="112"/>
      <c r="F24" s="108"/>
      <c r="G24" s="111"/>
      <c r="H24" s="153"/>
      <c r="I24" s="116"/>
    </row>
    <row r="25" spans="1:9" ht="15.75" x14ac:dyDescent="0.25">
      <c r="A25" s="152"/>
      <c r="B25" s="277"/>
      <c r="C25" s="278"/>
      <c r="D25" s="111"/>
      <c r="E25" s="112"/>
      <c r="F25" s="108"/>
      <c r="G25" s="111"/>
      <c r="H25" s="153"/>
      <c r="I25" s="116"/>
    </row>
    <row r="26" spans="1:9" ht="15.75" x14ac:dyDescent="0.25">
      <c r="A26" s="152"/>
      <c r="B26" s="140"/>
      <c r="C26" s="142"/>
      <c r="D26" s="111"/>
      <c r="E26" s="112"/>
      <c r="F26" s="108"/>
      <c r="G26" s="111"/>
      <c r="H26" s="153"/>
      <c r="I26" s="116"/>
    </row>
    <row r="27" spans="1:9" x14ac:dyDescent="0.25">
      <c r="A27" s="149"/>
      <c r="B27" s="154"/>
      <c r="C27" s="155"/>
      <c r="D27" s="107"/>
      <c r="E27" s="104"/>
      <c r="F27" s="108"/>
      <c r="G27" s="111"/>
      <c r="H27" s="153"/>
      <c r="I27" s="116"/>
    </row>
    <row r="28" spans="1:9" x14ac:dyDescent="0.25">
      <c r="A28" s="156"/>
      <c r="B28" s="277"/>
      <c r="C28" s="279"/>
      <c r="D28" s="111"/>
      <c r="E28" s="112"/>
      <c r="F28" s="108"/>
      <c r="G28" s="111"/>
      <c r="H28" s="153"/>
      <c r="I28" s="116"/>
    </row>
    <row r="29" spans="1:9" x14ac:dyDescent="0.25">
      <c r="A29" s="156"/>
      <c r="B29" s="277"/>
      <c r="C29" s="279"/>
      <c r="D29" s="111"/>
      <c r="E29" s="112"/>
      <c r="F29" s="108"/>
      <c r="G29" s="111"/>
      <c r="H29" s="153"/>
      <c r="I29" s="116"/>
    </row>
    <row r="30" spans="1:9" x14ac:dyDescent="0.25">
      <c r="A30" s="156"/>
      <c r="B30" s="277"/>
      <c r="C30" s="279"/>
      <c r="D30" s="111"/>
      <c r="E30" s="112"/>
      <c r="F30" s="108"/>
      <c r="G30" s="157"/>
      <c r="H30" s="153"/>
      <c r="I30" s="116"/>
    </row>
    <row r="31" spans="1:9" x14ac:dyDescent="0.25">
      <c r="A31" s="156"/>
      <c r="B31" s="140"/>
      <c r="C31" s="141"/>
      <c r="D31" s="111"/>
      <c r="E31" s="112"/>
      <c r="F31" s="108"/>
      <c r="G31" s="157"/>
      <c r="H31" s="153"/>
      <c r="I31" s="116"/>
    </row>
    <row r="32" spans="1:9" x14ac:dyDescent="0.25">
      <c r="A32" s="149"/>
      <c r="B32" s="158"/>
      <c r="C32" s="159"/>
      <c r="D32" s="107"/>
      <c r="E32" s="104"/>
      <c r="F32" s="108"/>
      <c r="G32" s="111"/>
      <c r="H32" s="153"/>
      <c r="I32" s="116"/>
    </row>
    <row r="33" spans="1:9" ht="15.75" thickBot="1" x14ac:dyDescent="0.3">
      <c r="A33" s="160"/>
      <c r="B33" s="280"/>
      <c r="C33" s="281"/>
      <c r="D33" s="161"/>
      <c r="E33" s="162"/>
      <c r="F33" s="163"/>
      <c r="G33" s="163"/>
      <c r="H33" s="164"/>
      <c r="I33" s="116"/>
    </row>
    <row r="34" spans="1:9" x14ac:dyDescent="0.25">
      <c r="A34" s="116"/>
      <c r="B34" s="116"/>
      <c r="C34" s="116"/>
      <c r="D34" s="116"/>
      <c r="E34" s="116"/>
      <c r="F34" s="116"/>
      <c r="G34" s="116"/>
      <c r="H34" s="116"/>
      <c r="I34" s="116"/>
    </row>
    <row r="35" spans="1:9" ht="15.75" x14ac:dyDescent="0.25">
      <c r="A35" s="96"/>
      <c r="B35" s="96"/>
      <c r="C35" s="96"/>
      <c r="D35" s="96"/>
      <c r="E35" s="96"/>
      <c r="F35" s="96"/>
      <c r="G35" s="96"/>
      <c r="H35" s="96"/>
      <c r="I35" s="96"/>
    </row>
    <row r="36" spans="1:9" ht="16.5" thickBot="1" x14ac:dyDescent="0.3">
      <c r="A36" s="97"/>
      <c r="B36" s="118"/>
      <c r="C36" s="118"/>
      <c r="D36" s="97"/>
      <c r="E36" s="117"/>
      <c r="F36" s="97"/>
      <c r="G36" s="97"/>
      <c r="H36" s="97"/>
      <c r="I36" s="96"/>
    </row>
    <row r="37" spans="1:9" ht="15.75" x14ac:dyDescent="0.25">
      <c r="A37" s="165" t="s">
        <v>155</v>
      </c>
      <c r="B37" s="166"/>
      <c r="C37" s="166"/>
      <c r="D37" s="167"/>
      <c r="E37" s="168"/>
      <c r="F37" s="169" t="s">
        <v>190</v>
      </c>
      <c r="G37" s="170"/>
      <c r="H37" s="171"/>
      <c r="I37" s="96"/>
    </row>
    <row r="38" spans="1:9" ht="15.75" x14ac:dyDescent="0.25">
      <c r="A38" s="271" t="str">
        <f>MASTER!F18</f>
        <v>PT. TRITECH CONSULT INDONESIA</v>
      </c>
      <c r="B38" s="272"/>
      <c r="C38" s="272"/>
      <c r="D38" s="273"/>
      <c r="E38" s="172"/>
      <c r="F38" s="266" t="s">
        <v>191</v>
      </c>
      <c r="G38" s="267"/>
      <c r="H38" s="268"/>
      <c r="I38" s="96"/>
    </row>
    <row r="39" spans="1:9" ht="15.75" x14ac:dyDescent="0.25">
      <c r="A39" s="173" t="s">
        <v>156</v>
      </c>
      <c r="B39" s="174"/>
      <c r="C39" s="269"/>
      <c r="D39" s="270"/>
      <c r="E39" s="168"/>
      <c r="F39" s="173" t="s">
        <v>156</v>
      </c>
      <c r="G39" s="175"/>
      <c r="H39" s="176"/>
      <c r="I39" s="96"/>
    </row>
    <row r="40" spans="1:9" ht="15.75" x14ac:dyDescent="0.25">
      <c r="A40" s="177"/>
      <c r="B40" s="168"/>
      <c r="C40" s="168"/>
      <c r="D40" s="178"/>
      <c r="E40" s="168"/>
      <c r="F40" s="177"/>
      <c r="G40" s="168"/>
      <c r="H40" s="178"/>
      <c r="I40" s="96"/>
    </row>
    <row r="41" spans="1:9" ht="15.75" x14ac:dyDescent="0.25">
      <c r="A41" s="177"/>
      <c r="B41" s="168"/>
      <c r="C41" s="168"/>
      <c r="D41" s="178"/>
      <c r="E41" s="168"/>
      <c r="F41" s="177"/>
      <c r="G41" s="168"/>
      <c r="H41" s="178"/>
      <c r="I41" s="96"/>
    </row>
    <row r="42" spans="1:9" ht="15.75" x14ac:dyDescent="0.25">
      <c r="A42" s="179"/>
      <c r="B42" s="172"/>
      <c r="C42" s="172"/>
      <c r="D42" s="180"/>
      <c r="E42" s="172"/>
      <c r="F42" s="271"/>
      <c r="G42" s="272"/>
      <c r="H42" s="273"/>
      <c r="I42" s="96"/>
    </row>
    <row r="43" spans="1:9" ht="16.5" thickBot="1" x14ac:dyDescent="0.3">
      <c r="A43" s="181"/>
      <c r="B43" s="182"/>
      <c r="C43" s="182"/>
      <c r="D43" s="183"/>
      <c r="E43" s="168"/>
      <c r="F43" s="274"/>
      <c r="G43" s="275"/>
      <c r="H43" s="276"/>
      <c r="I43" s="96"/>
    </row>
  </sheetData>
  <mergeCells count="28">
    <mergeCell ref="A3:H3"/>
    <mergeCell ref="A9:B10"/>
    <mergeCell ref="D9:D10"/>
    <mergeCell ref="E9:E10"/>
    <mergeCell ref="F9:G9"/>
    <mergeCell ref="H9:H10"/>
    <mergeCell ref="B24:C2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F38:H38"/>
    <mergeCell ref="C39:D39"/>
    <mergeCell ref="F42:H42"/>
    <mergeCell ref="F43:H43"/>
    <mergeCell ref="B25:C25"/>
    <mergeCell ref="B28:C28"/>
    <mergeCell ref="B29:C29"/>
    <mergeCell ref="B30:C30"/>
    <mergeCell ref="B33:C33"/>
    <mergeCell ref="A38:D38"/>
  </mergeCells>
  <pageMargins left="0.70866141732283472" right="0.70866141732283472" top="0.74803149606299213" bottom="0.74803149606299213" header="0.31496062992125984" footer="0.31496062992125984"/>
  <pageSetup paperSize="9" scale="75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1D264-148A-4683-BBE1-F9A3FF2C7AA0}">
  <sheetPr>
    <tabColor theme="9" tint="-0.249977111117893"/>
  </sheetPr>
  <dimension ref="A2:K30"/>
  <sheetViews>
    <sheetView showWhiteSpace="0" view="pageBreakPreview" topLeftCell="A13" zoomScaleNormal="100" zoomScaleSheetLayoutView="100" zoomScalePageLayoutView="55" workbookViewId="0">
      <selection activeCell="D3" sqref="D3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</row>
    <row r="11" spans="1:11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</row>
    <row r="12" spans="1:11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1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</row>
    <row r="14" spans="1:11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</row>
    <row r="15" spans="1:11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</row>
    <row r="16" spans="1:11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</row>
    <row r="17" spans="1:11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1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1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1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</row>
    <row r="21" spans="1:1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</row>
    <row r="22" spans="1:1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</row>
    <row r="23" spans="1:1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</row>
    <row r="24" spans="1:1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</row>
    <row r="25" spans="1:1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</row>
    <row r="26" spans="1:1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</row>
    <row r="27" spans="1:11" ht="15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</row>
    <row r="28" spans="1:11" ht="15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</row>
    <row r="29" spans="1:11" ht="15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</row>
    <row r="30" spans="1:11" ht="15" customHeight="1" x14ac:dyDescent="0.25">
      <c r="A30" s="295"/>
      <c r="B30" s="295"/>
      <c r="C30" s="295"/>
      <c r="D30" s="295"/>
      <c r="E30" s="295"/>
      <c r="F30" s="295"/>
      <c r="G30" s="295"/>
      <c r="H30" s="295"/>
      <c r="I30" s="295"/>
      <c r="J30" s="295"/>
      <c r="K30" s="295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5">
    <mergeCell ref="D2:K2"/>
    <mergeCell ref="A8:E8"/>
    <mergeCell ref="A9:K9"/>
    <mergeCell ref="A10:K29"/>
    <mergeCell ref="A30:K30"/>
  </mergeCells>
  <conditionalFormatting sqref="D7">
    <cfRule type="cellIs" dxfId="21" priority="2" operator="equal">
      <formula>0</formula>
    </cfRule>
  </conditionalFormatting>
  <conditionalFormatting sqref="G4:I7">
    <cfRule type="cellIs" dxfId="20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7BD0-A3A5-46B1-89A3-9012A438ABD4}">
  <sheetPr>
    <tabColor theme="9" tint="-0.249977111117893"/>
  </sheetPr>
  <dimension ref="A2:K46"/>
  <sheetViews>
    <sheetView showWhiteSpace="0" view="pageBreakPreview" zoomScaleNormal="100" zoomScaleSheetLayoutView="100" zoomScalePageLayoutView="55" workbookViewId="0">
      <selection activeCell="M12" sqref="M12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</row>
    <row r="11" spans="1:11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</row>
    <row r="12" spans="1:11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1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</row>
    <row r="14" spans="1:11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</row>
    <row r="15" spans="1:11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</row>
    <row r="16" spans="1:11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</row>
    <row r="17" spans="1:11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1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1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1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</row>
    <row r="21" spans="1:1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</row>
    <row r="22" spans="1:1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</row>
    <row r="23" spans="1:1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</row>
    <row r="24" spans="1:1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</row>
    <row r="25" spans="1:1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</row>
    <row r="26" spans="1:1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</row>
    <row r="27" spans="1:11" ht="15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</row>
    <row r="28" spans="1:11" ht="15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</row>
    <row r="29" spans="1:11" ht="15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</row>
    <row r="30" spans="1:11" ht="15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</row>
    <row r="31" spans="1:11" ht="15" customHeight="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</row>
    <row r="32" spans="1:11" ht="15" customHeight="1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</row>
    <row r="33" spans="1:11" ht="15" customHeight="1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</row>
    <row r="34" spans="1:11" ht="15" customHeight="1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</row>
    <row r="35" spans="1:11" ht="15" customHeight="1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</row>
    <row r="36" spans="1:11" ht="15" customHeight="1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</row>
    <row r="37" spans="1:11" ht="15" customHeight="1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</row>
    <row r="38" spans="1:11" ht="15" customHeight="1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</row>
    <row r="39" spans="1:11" ht="15" customHeight="1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</row>
    <row r="40" spans="1:11" ht="15" customHeight="1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</row>
    <row r="41" spans="1:11" ht="15" customHeight="1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</row>
    <row r="42" spans="1:11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</row>
    <row r="43" spans="1:11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</row>
    <row r="44" spans="1:11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</row>
    <row r="45" spans="1:11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</row>
    <row r="46" spans="1:11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4">
    <mergeCell ref="D2:K2"/>
    <mergeCell ref="A8:E8"/>
    <mergeCell ref="A9:K9"/>
    <mergeCell ref="A10:K46"/>
  </mergeCells>
  <conditionalFormatting sqref="D7">
    <cfRule type="cellIs" dxfId="19" priority="2" operator="equal">
      <formula>0</formula>
    </cfRule>
  </conditionalFormatting>
  <conditionalFormatting sqref="G4:I7">
    <cfRule type="cellIs" dxfId="18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967A2-C916-486E-9AC5-134A5FF3421A}">
  <sheetPr>
    <tabColor theme="9" tint="-0.249977111117893"/>
  </sheetPr>
  <dimension ref="A2:K31"/>
  <sheetViews>
    <sheetView showWhiteSpace="0" view="pageBreakPreview" zoomScaleNormal="100" zoomScaleSheetLayoutView="100" zoomScalePageLayoutView="55" workbookViewId="0">
      <selection activeCell="D3" sqref="D3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</row>
    <row r="11" spans="1:11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</row>
    <row r="12" spans="1:11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1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</row>
    <row r="14" spans="1:11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</row>
    <row r="15" spans="1:11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</row>
    <row r="16" spans="1:11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</row>
    <row r="17" spans="1:11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1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1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1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</row>
    <row r="21" spans="1:1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</row>
    <row r="22" spans="1:1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</row>
    <row r="23" spans="1:1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</row>
    <row r="24" spans="1:1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</row>
    <row r="25" spans="1:1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</row>
    <row r="26" spans="1:1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</row>
    <row r="27" spans="1:11" ht="15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</row>
    <row r="28" spans="1:11" ht="15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</row>
    <row r="29" spans="1:11" ht="15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</row>
    <row r="30" spans="1:11" ht="15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</row>
    <row r="31" spans="1:1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4">
    <mergeCell ref="A10:K31"/>
    <mergeCell ref="D2:K2"/>
    <mergeCell ref="A8:E8"/>
    <mergeCell ref="A9:K9"/>
  </mergeCells>
  <conditionalFormatting sqref="D7">
    <cfRule type="cellIs" dxfId="17" priority="2" operator="equal">
      <formula>0</formula>
    </cfRule>
  </conditionalFormatting>
  <conditionalFormatting sqref="G4:I7">
    <cfRule type="cellIs" dxfId="16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4683-DEF6-41C8-8779-F02B036BB080}">
  <sheetPr>
    <tabColor theme="9" tint="-0.249977111117893"/>
  </sheetPr>
  <dimension ref="A2:K49"/>
  <sheetViews>
    <sheetView showWhiteSpace="0" view="pageBreakPreview" zoomScaleNormal="100" zoomScaleSheetLayoutView="100" zoomScalePageLayoutView="55" workbookViewId="0">
      <selection activeCell="D2" sqref="D2:K2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296"/>
      <c r="B10" s="297"/>
      <c r="C10" s="297"/>
      <c r="D10" s="297"/>
      <c r="E10" s="297"/>
      <c r="F10" s="297"/>
      <c r="G10" s="297"/>
      <c r="H10" s="297"/>
      <c r="I10" s="297"/>
      <c r="J10" s="297"/>
      <c r="K10" s="298"/>
    </row>
    <row r="11" spans="1:11" x14ac:dyDescent="0.25">
      <c r="A11" s="299"/>
      <c r="B11" s="295"/>
      <c r="C11" s="295"/>
      <c r="D11" s="295"/>
      <c r="E11" s="295"/>
      <c r="F11" s="295"/>
      <c r="G11" s="295"/>
      <c r="H11" s="295"/>
      <c r="I11" s="295"/>
      <c r="J11" s="295"/>
      <c r="K11" s="300"/>
    </row>
    <row r="12" spans="1:11" x14ac:dyDescent="0.25">
      <c r="A12" s="299"/>
      <c r="B12" s="295"/>
      <c r="C12" s="295"/>
      <c r="D12" s="295"/>
      <c r="E12" s="295"/>
      <c r="F12" s="295"/>
      <c r="G12" s="295"/>
      <c r="H12" s="295"/>
      <c r="I12" s="295"/>
      <c r="J12" s="295"/>
      <c r="K12" s="300"/>
    </row>
    <row r="13" spans="1:11" x14ac:dyDescent="0.25">
      <c r="A13" s="299"/>
      <c r="B13" s="295"/>
      <c r="C13" s="295"/>
      <c r="D13" s="295"/>
      <c r="E13" s="295"/>
      <c r="F13" s="295"/>
      <c r="G13" s="295"/>
      <c r="H13" s="295"/>
      <c r="I13" s="295"/>
      <c r="J13" s="295"/>
      <c r="K13" s="300"/>
    </row>
    <row r="14" spans="1:11" x14ac:dyDescent="0.25">
      <c r="A14" s="299"/>
      <c r="B14" s="295"/>
      <c r="C14" s="295"/>
      <c r="D14" s="295"/>
      <c r="E14" s="295"/>
      <c r="F14" s="295"/>
      <c r="G14" s="295"/>
      <c r="H14" s="295"/>
      <c r="I14" s="295"/>
      <c r="J14" s="295"/>
      <c r="K14" s="300"/>
    </row>
    <row r="15" spans="1:11" x14ac:dyDescent="0.25">
      <c r="A15" s="299"/>
      <c r="B15" s="295"/>
      <c r="C15" s="295"/>
      <c r="D15" s="295"/>
      <c r="E15" s="295"/>
      <c r="F15" s="295"/>
      <c r="G15" s="295"/>
      <c r="H15" s="295"/>
      <c r="I15" s="295"/>
      <c r="J15" s="295"/>
      <c r="K15" s="300"/>
    </row>
    <row r="16" spans="1:11" x14ac:dyDescent="0.25">
      <c r="A16" s="299"/>
      <c r="B16" s="295"/>
      <c r="C16" s="295"/>
      <c r="D16" s="295"/>
      <c r="E16" s="295"/>
      <c r="F16" s="295"/>
      <c r="G16" s="295"/>
      <c r="H16" s="295"/>
      <c r="I16" s="295"/>
      <c r="J16" s="295"/>
      <c r="K16" s="300"/>
    </row>
    <row r="17" spans="1:11" x14ac:dyDescent="0.25">
      <c r="A17" s="299"/>
      <c r="B17" s="295"/>
      <c r="C17" s="295"/>
      <c r="D17" s="295"/>
      <c r="E17" s="295"/>
      <c r="F17" s="295"/>
      <c r="G17" s="295"/>
      <c r="H17" s="295"/>
      <c r="I17" s="295"/>
      <c r="J17" s="295"/>
      <c r="K17" s="300"/>
    </row>
    <row r="18" spans="1:11" x14ac:dyDescent="0.25">
      <c r="A18" s="299"/>
      <c r="B18" s="295"/>
      <c r="C18" s="295"/>
      <c r="D18" s="295"/>
      <c r="E18" s="295"/>
      <c r="F18" s="295"/>
      <c r="G18" s="295"/>
      <c r="H18" s="295"/>
      <c r="I18" s="295"/>
      <c r="J18" s="295"/>
      <c r="K18" s="300"/>
    </row>
    <row r="19" spans="1:11" x14ac:dyDescent="0.25">
      <c r="A19" s="299"/>
      <c r="B19" s="295"/>
      <c r="C19" s="295"/>
      <c r="D19" s="295"/>
      <c r="E19" s="295"/>
      <c r="F19" s="295"/>
      <c r="G19" s="295"/>
      <c r="H19" s="295"/>
      <c r="I19" s="295"/>
      <c r="J19" s="295"/>
      <c r="K19" s="300"/>
    </row>
    <row r="20" spans="1:11" x14ac:dyDescent="0.25">
      <c r="A20" s="299"/>
      <c r="B20" s="295"/>
      <c r="C20" s="295"/>
      <c r="D20" s="295"/>
      <c r="E20" s="295"/>
      <c r="F20" s="295"/>
      <c r="G20" s="295"/>
      <c r="H20" s="295"/>
      <c r="I20" s="295"/>
      <c r="J20" s="295"/>
      <c r="K20" s="300"/>
    </row>
    <row r="21" spans="1:11" x14ac:dyDescent="0.25">
      <c r="A21" s="299"/>
      <c r="B21" s="295"/>
      <c r="C21" s="295"/>
      <c r="D21" s="295"/>
      <c r="E21" s="295"/>
      <c r="F21" s="295"/>
      <c r="G21" s="295"/>
      <c r="H21" s="295"/>
      <c r="I21" s="295"/>
      <c r="J21" s="295"/>
      <c r="K21" s="300"/>
    </row>
    <row r="22" spans="1:11" x14ac:dyDescent="0.25">
      <c r="A22" s="299"/>
      <c r="B22" s="295"/>
      <c r="C22" s="295"/>
      <c r="D22" s="295"/>
      <c r="E22" s="295"/>
      <c r="F22" s="295"/>
      <c r="G22" s="295"/>
      <c r="H22" s="295"/>
      <c r="I22" s="295"/>
      <c r="J22" s="295"/>
      <c r="K22" s="300"/>
    </row>
    <row r="23" spans="1:11" x14ac:dyDescent="0.25">
      <c r="A23" s="299"/>
      <c r="B23" s="295"/>
      <c r="C23" s="295"/>
      <c r="D23" s="295"/>
      <c r="E23" s="295"/>
      <c r="F23" s="295"/>
      <c r="G23" s="295"/>
      <c r="H23" s="295"/>
      <c r="I23" s="295"/>
      <c r="J23" s="295"/>
      <c r="K23" s="300"/>
    </row>
    <row r="24" spans="1:11" x14ac:dyDescent="0.25">
      <c r="A24" s="299"/>
      <c r="B24" s="295"/>
      <c r="C24" s="295"/>
      <c r="D24" s="295"/>
      <c r="E24" s="295"/>
      <c r="F24" s="295"/>
      <c r="G24" s="295"/>
      <c r="H24" s="295"/>
      <c r="I24" s="295"/>
      <c r="J24" s="295"/>
      <c r="K24" s="300"/>
    </row>
    <row r="25" spans="1:11" x14ac:dyDescent="0.25">
      <c r="A25" s="299"/>
      <c r="B25" s="295"/>
      <c r="C25" s="295"/>
      <c r="D25" s="295"/>
      <c r="E25" s="295"/>
      <c r="F25" s="295"/>
      <c r="G25" s="295"/>
      <c r="H25" s="295"/>
      <c r="I25" s="295"/>
      <c r="J25" s="295"/>
      <c r="K25" s="300"/>
    </row>
    <row r="26" spans="1:11" x14ac:dyDescent="0.25">
      <c r="A26" s="299"/>
      <c r="B26" s="295"/>
      <c r="C26" s="295"/>
      <c r="D26" s="295"/>
      <c r="E26" s="295"/>
      <c r="F26" s="295"/>
      <c r="G26" s="295"/>
      <c r="H26" s="295"/>
      <c r="I26" s="295"/>
      <c r="J26" s="295"/>
      <c r="K26" s="300"/>
    </row>
    <row r="27" spans="1:11" ht="15" customHeight="1" x14ac:dyDescent="0.25">
      <c r="A27" s="299"/>
      <c r="B27" s="295"/>
      <c r="C27" s="295"/>
      <c r="D27" s="295"/>
      <c r="E27" s="295"/>
      <c r="F27" s="295"/>
      <c r="G27" s="295"/>
      <c r="H27" s="295"/>
      <c r="I27" s="295"/>
      <c r="J27" s="295"/>
      <c r="K27" s="300"/>
    </row>
    <row r="28" spans="1:11" ht="15" customHeight="1" x14ac:dyDescent="0.25">
      <c r="A28" s="299"/>
      <c r="B28" s="295"/>
      <c r="C28" s="295"/>
      <c r="D28" s="295"/>
      <c r="E28" s="295"/>
      <c r="F28" s="295"/>
      <c r="G28" s="295"/>
      <c r="H28" s="295"/>
      <c r="I28" s="295"/>
      <c r="J28" s="295"/>
      <c r="K28" s="300"/>
    </row>
    <row r="29" spans="1:11" ht="15" customHeight="1" x14ac:dyDescent="0.25">
      <c r="A29" s="299"/>
      <c r="B29" s="295"/>
      <c r="C29" s="295"/>
      <c r="D29" s="295"/>
      <c r="E29" s="295"/>
      <c r="F29" s="295"/>
      <c r="G29" s="295"/>
      <c r="H29" s="295"/>
      <c r="I29" s="295"/>
      <c r="J29" s="295"/>
      <c r="K29" s="300"/>
    </row>
    <row r="30" spans="1:11" ht="15" customHeight="1" x14ac:dyDescent="0.25">
      <c r="A30" s="299"/>
      <c r="B30" s="295"/>
      <c r="C30" s="295"/>
      <c r="D30" s="295"/>
      <c r="E30" s="295"/>
      <c r="F30" s="295"/>
      <c r="G30" s="295"/>
      <c r="H30" s="295"/>
      <c r="I30" s="295"/>
      <c r="J30" s="295"/>
      <c r="K30" s="300"/>
    </row>
    <row r="31" spans="1:11" ht="15" customHeight="1" x14ac:dyDescent="0.25">
      <c r="A31" s="299"/>
      <c r="B31" s="295"/>
      <c r="C31" s="295"/>
      <c r="D31" s="295"/>
      <c r="E31" s="295"/>
      <c r="F31" s="295"/>
      <c r="G31" s="295"/>
      <c r="H31" s="295"/>
      <c r="I31" s="295"/>
      <c r="J31" s="295"/>
      <c r="K31" s="300"/>
    </row>
    <row r="32" spans="1:11" ht="15" customHeight="1" x14ac:dyDescent="0.25">
      <c r="A32" s="299"/>
      <c r="B32" s="295"/>
      <c r="C32" s="295"/>
      <c r="D32" s="295"/>
      <c r="E32" s="295"/>
      <c r="F32" s="295"/>
      <c r="G32" s="295"/>
      <c r="H32" s="295"/>
      <c r="I32" s="295"/>
      <c r="J32" s="295"/>
      <c r="K32" s="300"/>
    </row>
    <row r="33" spans="1:11" ht="15" customHeight="1" x14ac:dyDescent="0.25">
      <c r="A33" s="299"/>
      <c r="B33" s="295"/>
      <c r="C33" s="295"/>
      <c r="D33" s="295"/>
      <c r="E33" s="295"/>
      <c r="F33" s="295"/>
      <c r="G33" s="295"/>
      <c r="H33" s="295"/>
      <c r="I33" s="295"/>
      <c r="J33" s="295"/>
      <c r="K33" s="300"/>
    </row>
    <row r="34" spans="1:11" ht="15" customHeight="1" x14ac:dyDescent="0.25">
      <c r="A34" s="299"/>
      <c r="B34" s="295"/>
      <c r="C34" s="295"/>
      <c r="D34" s="295"/>
      <c r="E34" s="295"/>
      <c r="F34" s="295"/>
      <c r="G34" s="295"/>
      <c r="H34" s="295"/>
      <c r="I34" s="295"/>
      <c r="J34" s="295"/>
      <c r="K34" s="300"/>
    </row>
    <row r="35" spans="1:11" ht="15" customHeight="1" x14ac:dyDescent="0.25">
      <c r="A35" s="299"/>
      <c r="B35" s="295"/>
      <c r="C35" s="295"/>
      <c r="D35" s="295"/>
      <c r="E35" s="295"/>
      <c r="F35" s="295"/>
      <c r="G35" s="295"/>
      <c r="H35" s="295"/>
      <c r="I35" s="295"/>
      <c r="J35" s="295"/>
      <c r="K35" s="300"/>
    </row>
    <row r="36" spans="1:11" ht="15" customHeight="1" x14ac:dyDescent="0.25">
      <c r="A36" s="299"/>
      <c r="B36" s="295"/>
      <c r="C36" s="295"/>
      <c r="D36" s="295"/>
      <c r="E36" s="295"/>
      <c r="F36" s="295"/>
      <c r="G36" s="295"/>
      <c r="H36" s="295"/>
      <c r="I36" s="295"/>
      <c r="J36" s="295"/>
      <c r="K36" s="300"/>
    </row>
    <row r="37" spans="1:11" ht="15" customHeight="1" x14ac:dyDescent="0.25">
      <c r="A37" s="299"/>
      <c r="B37" s="295"/>
      <c r="C37" s="295"/>
      <c r="D37" s="295"/>
      <c r="E37" s="295"/>
      <c r="F37" s="295"/>
      <c r="G37" s="295"/>
      <c r="H37" s="295"/>
      <c r="I37" s="295"/>
      <c r="J37" s="295"/>
      <c r="K37" s="300"/>
    </row>
    <row r="38" spans="1:11" ht="15" customHeight="1" x14ac:dyDescent="0.25">
      <c r="A38" s="299"/>
      <c r="B38" s="295"/>
      <c r="C38" s="295"/>
      <c r="D38" s="295"/>
      <c r="E38" s="295"/>
      <c r="F38" s="295"/>
      <c r="G38" s="295"/>
      <c r="H38" s="295"/>
      <c r="I38" s="295"/>
      <c r="J38" s="295"/>
      <c r="K38" s="300"/>
    </row>
    <row r="39" spans="1:11" ht="15" customHeight="1" x14ac:dyDescent="0.25">
      <c r="A39" s="299"/>
      <c r="B39" s="295"/>
      <c r="C39" s="295"/>
      <c r="D39" s="295"/>
      <c r="E39" s="295"/>
      <c r="F39" s="295"/>
      <c r="G39" s="295"/>
      <c r="H39" s="295"/>
      <c r="I39" s="295"/>
      <c r="J39" s="295"/>
      <c r="K39" s="300"/>
    </row>
    <row r="40" spans="1:11" ht="15" customHeight="1" x14ac:dyDescent="0.25">
      <c r="A40" s="299"/>
      <c r="B40" s="295"/>
      <c r="C40" s="295"/>
      <c r="D40" s="295"/>
      <c r="E40" s="295"/>
      <c r="F40" s="295"/>
      <c r="G40" s="295"/>
      <c r="H40" s="295"/>
      <c r="I40" s="295"/>
      <c r="J40" s="295"/>
      <c r="K40" s="300"/>
    </row>
    <row r="41" spans="1:11" ht="15" customHeight="1" x14ac:dyDescent="0.25">
      <c r="A41" s="299"/>
      <c r="B41" s="295"/>
      <c r="C41" s="295"/>
      <c r="D41" s="295"/>
      <c r="E41" s="295"/>
      <c r="F41" s="295"/>
      <c r="G41" s="295"/>
      <c r="H41" s="295"/>
      <c r="I41" s="295"/>
      <c r="J41" s="295"/>
      <c r="K41" s="300"/>
    </row>
    <row r="42" spans="1:11" x14ac:dyDescent="0.25">
      <c r="A42" s="299"/>
      <c r="B42" s="295"/>
      <c r="C42" s="295"/>
      <c r="D42" s="295"/>
      <c r="E42" s="295"/>
      <c r="F42" s="295"/>
      <c r="G42" s="295"/>
      <c r="H42" s="295"/>
      <c r="I42" s="295"/>
      <c r="J42" s="295"/>
      <c r="K42" s="300"/>
    </row>
    <row r="43" spans="1:11" x14ac:dyDescent="0.25">
      <c r="A43" s="299"/>
      <c r="B43" s="295"/>
      <c r="C43" s="295"/>
      <c r="D43" s="295"/>
      <c r="E43" s="295"/>
      <c r="F43" s="295"/>
      <c r="G43" s="295"/>
      <c r="H43" s="295"/>
      <c r="I43" s="295"/>
      <c r="J43" s="295"/>
      <c r="K43" s="300"/>
    </row>
    <row r="44" spans="1:11" x14ac:dyDescent="0.25">
      <c r="A44" s="299"/>
      <c r="B44" s="295"/>
      <c r="C44" s="295"/>
      <c r="D44" s="295"/>
      <c r="E44" s="295"/>
      <c r="F44" s="295"/>
      <c r="G44" s="295"/>
      <c r="H44" s="295"/>
      <c r="I44" s="295"/>
      <c r="J44" s="295"/>
      <c r="K44" s="300"/>
    </row>
    <row r="45" spans="1:11" x14ac:dyDescent="0.25">
      <c r="A45" s="299"/>
      <c r="B45" s="295"/>
      <c r="C45" s="295"/>
      <c r="D45" s="295"/>
      <c r="E45" s="295"/>
      <c r="F45" s="295"/>
      <c r="G45" s="295"/>
      <c r="H45" s="295"/>
      <c r="I45" s="295"/>
      <c r="J45" s="295"/>
      <c r="K45" s="300"/>
    </row>
    <row r="46" spans="1:11" x14ac:dyDescent="0.25">
      <c r="A46" s="299"/>
      <c r="B46" s="295"/>
      <c r="C46" s="295"/>
      <c r="D46" s="295"/>
      <c r="E46" s="295"/>
      <c r="F46" s="295"/>
      <c r="G46" s="295"/>
      <c r="H46" s="295"/>
      <c r="I46" s="295"/>
      <c r="J46" s="295"/>
      <c r="K46" s="300"/>
    </row>
    <row r="47" spans="1:11" x14ac:dyDescent="0.25">
      <c r="A47" s="299"/>
      <c r="B47" s="295"/>
      <c r="C47" s="295"/>
      <c r="D47" s="295"/>
      <c r="E47" s="295"/>
      <c r="F47" s="295"/>
      <c r="G47" s="295"/>
      <c r="H47" s="295"/>
      <c r="I47" s="295"/>
      <c r="J47" s="295"/>
      <c r="K47" s="300"/>
    </row>
    <row r="48" spans="1:11" x14ac:dyDescent="0.25">
      <c r="A48" s="299"/>
      <c r="B48" s="295"/>
      <c r="C48" s="295"/>
      <c r="D48" s="295"/>
      <c r="E48" s="295"/>
      <c r="F48" s="295"/>
      <c r="G48" s="295"/>
      <c r="H48" s="295"/>
      <c r="I48" s="295"/>
      <c r="J48" s="295"/>
      <c r="K48" s="300"/>
    </row>
    <row r="49" spans="1:11" x14ac:dyDescent="0.25">
      <c r="A49" s="301"/>
      <c r="B49" s="302"/>
      <c r="C49" s="302"/>
      <c r="D49" s="302"/>
      <c r="E49" s="302"/>
      <c r="F49" s="302"/>
      <c r="G49" s="302"/>
      <c r="H49" s="302"/>
      <c r="I49" s="302"/>
      <c r="J49" s="302"/>
      <c r="K49" s="303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4">
    <mergeCell ref="D2:K2"/>
    <mergeCell ref="A8:E8"/>
    <mergeCell ref="A9:K9"/>
    <mergeCell ref="A10:K49"/>
  </mergeCells>
  <conditionalFormatting sqref="D7">
    <cfRule type="cellIs" dxfId="15" priority="2" operator="equal">
      <formula>0</formula>
    </cfRule>
  </conditionalFormatting>
  <conditionalFormatting sqref="G4:I7">
    <cfRule type="cellIs" dxfId="14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31DF8-7B26-41FE-983A-9429B0E5CE10}">
  <sheetPr>
    <tabColor theme="9" tint="-0.249977111117893"/>
  </sheetPr>
  <dimension ref="A2:K46"/>
  <sheetViews>
    <sheetView showWhiteSpace="0" view="pageBreakPreview" zoomScaleNormal="100" zoomScaleSheetLayoutView="100" zoomScalePageLayoutView="55" workbookViewId="0">
      <selection activeCell="D3" sqref="D3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</row>
    <row r="11" spans="1:11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</row>
    <row r="12" spans="1:11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1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</row>
    <row r="14" spans="1:11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</row>
    <row r="15" spans="1:11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</row>
    <row r="16" spans="1:11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</row>
    <row r="17" spans="1:11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1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1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1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</row>
    <row r="21" spans="1:1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</row>
    <row r="22" spans="1:1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</row>
    <row r="23" spans="1:1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</row>
    <row r="24" spans="1:1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</row>
    <row r="25" spans="1:1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</row>
    <row r="26" spans="1:1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</row>
    <row r="27" spans="1:11" ht="15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</row>
    <row r="28" spans="1:11" ht="15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</row>
    <row r="29" spans="1:11" ht="15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</row>
    <row r="30" spans="1:11" ht="15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</row>
    <row r="31" spans="1:11" ht="15" customHeight="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</row>
    <row r="32" spans="1:11" ht="15" customHeight="1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</row>
    <row r="33" spans="1:11" ht="15" customHeight="1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</row>
    <row r="34" spans="1:11" ht="15" customHeight="1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</row>
    <row r="35" spans="1:11" ht="15" customHeight="1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</row>
    <row r="36" spans="1:11" ht="15" customHeight="1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</row>
    <row r="37" spans="1:11" ht="15" customHeight="1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</row>
    <row r="38" spans="1:11" ht="15" customHeight="1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</row>
    <row r="39" spans="1:11" ht="15" customHeight="1" x14ac:dyDescent="0.25">
      <c r="A39" s="194"/>
      <c r="B39" s="194"/>
      <c r="C39" s="194"/>
      <c r="D39" s="194"/>
      <c r="E39" s="194"/>
      <c r="F39" s="194"/>
      <c r="G39" s="194"/>
      <c r="H39" s="194"/>
      <c r="I39" s="194"/>
      <c r="J39" s="194"/>
      <c r="K39" s="194"/>
    </row>
    <row r="40" spans="1:11" ht="15" customHeight="1" x14ac:dyDescent="0.25">
      <c r="A40" s="194"/>
      <c r="B40" s="194"/>
      <c r="C40" s="194"/>
      <c r="D40" s="194"/>
      <c r="E40" s="194"/>
      <c r="F40" s="194"/>
      <c r="G40" s="194"/>
      <c r="H40" s="194"/>
      <c r="I40" s="194"/>
      <c r="J40" s="194"/>
      <c r="K40" s="194"/>
    </row>
    <row r="41" spans="1:11" ht="15" customHeight="1" x14ac:dyDescent="0.25">
      <c r="A41" s="194"/>
      <c r="B41" s="194"/>
      <c r="C41" s="194"/>
      <c r="D41" s="194"/>
      <c r="E41" s="194"/>
      <c r="F41" s="194"/>
      <c r="G41" s="194"/>
      <c r="H41" s="194"/>
      <c r="I41" s="194"/>
      <c r="J41" s="194"/>
      <c r="K41" s="194"/>
    </row>
    <row r="42" spans="1:11" x14ac:dyDescent="0.25">
      <c r="A42" s="194"/>
      <c r="B42" s="194"/>
      <c r="C42" s="194"/>
      <c r="D42" s="194"/>
      <c r="E42" s="194"/>
      <c r="F42" s="194"/>
      <c r="G42" s="194"/>
      <c r="H42" s="194"/>
      <c r="I42" s="194"/>
      <c r="J42" s="194"/>
      <c r="K42" s="194"/>
    </row>
    <row r="43" spans="1:11" x14ac:dyDescent="0.25">
      <c r="A43" s="194"/>
      <c r="B43" s="194"/>
      <c r="C43" s="194"/>
      <c r="D43" s="194"/>
      <c r="E43" s="194"/>
      <c r="F43" s="194"/>
      <c r="G43" s="194"/>
      <c r="H43" s="194"/>
      <c r="I43" s="194"/>
      <c r="J43" s="194"/>
      <c r="K43" s="194"/>
    </row>
    <row r="44" spans="1:11" x14ac:dyDescent="0.25">
      <c r="A44" s="194"/>
      <c r="B44" s="194"/>
      <c r="C44" s="194"/>
      <c r="D44" s="194"/>
      <c r="E44" s="194"/>
      <c r="F44" s="194"/>
      <c r="G44" s="194"/>
      <c r="H44" s="194"/>
      <c r="I44" s="194"/>
      <c r="J44" s="194"/>
      <c r="K44" s="194"/>
    </row>
    <row r="45" spans="1:11" x14ac:dyDescent="0.25">
      <c r="A45" s="194"/>
      <c r="B45" s="194"/>
      <c r="C45" s="194"/>
      <c r="D45" s="194"/>
      <c r="E45" s="194"/>
      <c r="F45" s="194"/>
      <c r="G45" s="194"/>
      <c r="H45" s="194"/>
      <c r="I45" s="194"/>
      <c r="J45" s="194"/>
      <c r="K45" s="194"/>
    </row>
    <row r="46" spans="1:11" x14ac:dyDescent="0.25">
      <c r="A46" s="194"/>
      <c r="B46" s="194"/>
      <c r="C46" s="194"/>
      <c r="D46" s="194"/>
      <c r="E46" s="194"/>
      <c r="F46" s="194"/>
      <c r="G46" s="194"/>
      <c r="H46" s="194"/>
      <c r="I46" s="194"/>
      <c r="J46" s="194"/>
      <c r="K46" s="194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4">
    <mergeCell ref="D2:K2"/>
    <mergeCell ref="A8:E8"/>
    <mergeCell ref="A9:K9"/>
    <mergeCell ref="A10:K46"/>
  </mergeCells>
  <conditionalFormatting sqref="D7">
    <cfRule type="cellIs" dxfId="13" priority="2" operator="equal">
      <formula>0</formula>
    </cfRule>
  </conditionalFormatting>
  <conditionalFormatting sqref="G4:I7">
    <cfRule type="cellIs" dxfId="12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30599-80CB-4064-9EAA-BBDAA753C6EB}">
  <sheetPr>
    <tabColor theme="9" tint="-0.249977111117893"/>
  </sheetPr>
  <dimension ref="A2:K38"/>
  <sheetViews>
    <sheetView showWhiteSpace="0" view="pageBreakPreview" zoomScaleNormal="100" zoomScaleSheetLayoutView="100" zoomScalePageLayoutView="55" workbookViewId="0">
      <selection activeCell="O16" sqref="O16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193" t="s">
        <v>217</v>
      </c>
      <c r="E2" s="193"/>
      <c r="F2" s="193"/>
      <c r="G2" s="193"/>
      <c r="H2" s="193"/>
      <c r="I2" s="193"/>
      <c r="J2" s="193"/>
      <c r="K2" s="193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 t="str">
        <f>'[40]SKOM '!D6</f>
        <v xml:space="preserve">TSEL 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217</v>
      </c>
      <c r="B9" s="194"/>
      <c r="C9" s="194"/>
      <c r="D9" s="194"/>
      <c r="E9" s="194"/>
      <c r="F9" s="194"/>
      <c r="G9" s="194"/>
      <c r="H9" s="194"/>
      <c r="I9" s="194"/>
      <c r="J9" s="194"/>
      <c r="K9" s="194"/>
    </row>
    <row r="10" spans="1:11" x14ac:dyDescent="0.25">
      <c r="A10" s="194"/>
      <c r="B10" s="194"/>
      <c r="C10" s="194"/>
      <c r="D10" s="194"/>
      <c r="E10" s="194"/>
      <c r="F10" s="194"/>
      <c r="G10" s="194"/>
      <c r="H10" s="194"/>
      <c r="I10" s="194"/>
      <c r="J10" s="194"/>
      <c r="K10" s="194"/>
    </row>
    <row r="11" spans="1:11" x14ac:dyDescent="0.25">
      <c r="A11" s="194"/>
      <c r="B11" s="194"/>
      <c r="C11" s="194"/>
      <c r="D11" s="194"/>
      <c r="E11" s="194"/>
      <c r="F11" s="194"/>
      <c r="G11" s="194"/>
      <c r="H11" s="194"/>
      <c r="I11" s="194"/>
      <c r="J11" s="194"/>
      <c r="K11" s="194"/>
    </row>
    <row r="12" spans="1:11" x14ac:dyDescent="0.25">
      <c r="A12" s="194"/>
      <c r="B12" s="194"/>
      <c r="C12" s="194"/>
      <c r="D12" s="194"/>
      <c r="E12" s="194"/>
      <c r="F12" s="194"/>
      <c r="G12" s="194"/>
      <c r="H12" s="194"/>
      <c r="I12" s="194"/>
      <c r="J12" s="194"/>
      <c r="K12" s="194"/>
    </row>
    <row r="13" spans="1:11" x14ac:dyDescent="0.25">
      <c r="A13" s="194"/>
      <c r="B13" s="194"/>
      <c r="C13" s="194"/>
      <c r="D13" s="194"/>
      <c r="E13" s="194"/>
      <c r="F13" s="194"/>
      <c r="G13" s="194"/>
      <c r="H13" s="194"/>
      <c r="I13" s="194"/>
      <c r="J13" s="194"/>
      <c r="K13" s="194"/>
    </row>
    <row r="14" spans="1:11" x14ac:dyDescent="0.25">
      <c r="A14" s="194"/>
      <c r="B14" s="194"/>
      <c r="C14" s="194"/>
      <c r="D14" s="194"/>
      <c r="E14" s="194"/>
      <c r="F14" s="194"/>
      <c r="G14" s="194"/>
      <c r="H14" s="194"/>
      <c r="I14" s="194"/>
      <c r="J14" s="194"/>
      <c r="K14" s="194"/>
    </row>
    <row r="15" spans="1:11" x14ac:dyDescent="0.25">
      <c r="A15" s="194"/>
      <c r="B15" s="194"/>
      <c r="C15" s="194"/>
      <c r="D15" s="194"/>
      <c r="E15" s="194"/>
      <c r="F15" s="194"/>
      <c r="G15" s="194"/>
      <c r="H15" s="194"/>
      <c r="I15" s="194"/>
      <c r="J15" s="194"/>
      <c r="K15" s="194"/>
    </row>
    <row r="16" spans="1:11" x14ac:dyDescent="0.25">
      <c r="A16" s="194"/>
      <c r="B16" s="194"/>
      <c r="C16" s="194"/>
      <c r="D16" s="194"/>
      <c r="E16" s="194"/>
      <c r="F16" s="194"/>
      <c r="G16" s="194"/>
      <c r="H16" s="194"/>
      <c r="I16" s="194"/>
      <c r="J16" s="194"/>
      <c r="K16" s="194"/>
    </row>
    <row r="17" spans="1:11" x14ac:dyDescent="0.25">
      <c r="A17" s="194"/>
      <c r="B17" s="194"/>
      <c r="C17" s="194"/>
      <c r="D17" s="194"/>
      <c r="E17" s="194"/>
      <c r="F17" s="194"/>
      <c r="G17" s="194"/>
      <c r="H17" s="194"/>
      <c r="I17" s="194"/>
      <c r="J17" s="194"/>
      <c r="K17" s="194"/>
    </row>
    <row r="18" spans="1:11" x14ac:dyDescent="0.25">
      <c r="A18" s="194"/>
      <c r="B18" s="194"/>
      <c r="C18" s="194"/>
      <c r="D18" s="194"/>
      <c r="E18" s="194"/>
      <c r="F18" s="194"/>
      <c r="G18" s="194"/>
      <c r="H18" s="194"/>
      <c r="I18" s="194"/>
      <c r="J18" s="194"/>
      <c r="K18" s="194"/>
    </row>
    <row r="19" spans="1:11" x14ac:dyDescent="0.25">
      <c r="A19" s="194"/>
      <c r="B19" s="194"/>
      <c r="C19" s="194"/>
      <c r="D19" s="194"/>
      <c r="E19" s="194"/>
      <c r="F19" s="194"/>
      <c r="G19" s="194"/>
      <c r="H19" s="194"/>
      <c r="I19" s="194"/>
      <c r="J19" s="194"/>
      <c r="K19" s="194"/>
    </row>
    <row r="20" spans="1:11" x14ac:dyDescent="0.25">
      <c r="A20" s="194"/>
      <c r="B20" s="194"/>
      <c r="C20" s="194"/>
      <c r="D20" s="194"/>
      <c r="E20" s="194"/>
      <c r="F20" s="194"/>
      <c r="G20" s="194"/>
      <c r="H20" s="194"/>
      <c r="I20" s="194"/>
      <c r="J20" s="194"/>
      <c r="K20" s="194"/>
    </row>
    <row r="21" spans="1:11" x14ac:dyDescent="0.25">
      <c r="A21" s="194"/>
      <c r="B21" s="194"/>
      <c r="C21" s="194"/>
      <c r="D21" s="194"/>
      <c r="E21" s="194"/>
      <c r="F21" s="194"/>
      <c r="G21" s="194"/>
      <c r="H21" s="194"/>
      <c r="I21" s="194"/>
      <c r="J21" s="194"/>
      <c r="K21" s="194"/>
    </row>
    <row r="22" spans="1:11" x14ac:dyDescent="0.25">
      <c r="A22" s="194"/>
      <c r="B22" s="194"/>
      <c r="C22" s="194"/>
      <c r="D22" s="194"/>
      <c r="E22" s="194"/>
      <c r="F22" s="194"/>
      <c r="G22" s="194"/>
      <c r="H22" s="194"/>
      <c r="I22" s="194"/>
      <c r="J22" s="194"/>
      <c r="K22" s="194"/>
    </row>
    <row r="23" spans="1:11" x14ac:dyDescent="0.25">
      <c r="A23" s="194"/>
      <c r="B23" s="194"/>
      <c r="C23" s="194"/>
      <c r="D23" s="194"/>
      <c r="E23" s="194"/>
      <c r="F23" s="194"/>
      <c r="G23" s="194"/>
      <c r="H23" s="194"/>
      <c r="I23" s="194"/>
      <c r="J23" s="194"/>
      <c r="K23" s="194"/>
    </row>
    <row r="24" spans="1:11" x14ac:dyDescent="0.25">
      <c r="A24" s="194"/>
      <c r="B24" s="194"/>
      <c r="C24" s="194"/>
      <c r="D24" s="194"/>
      <c r="E24" s="194"/>
      <c r="F24" s="194"/>
      <c r="G24" s="194"/>
      <c r="H24" s="194"/>
      <c r="I24" s="194"/>
      <c r="J24" s="194"/>
      <c r="K24" s="194"/>
    </row>
    <row r="25" spans="1:11" x14ac:dyDescent="0.25">
      <c r="A25" s="194"/>
      <c r="B25" s="194"/>
      <c r="C25" s="194"/>
      <c r="D25" s="194"/>
      <c r="E25" s="194"/>
      <c r="F25" s="194"/>
      <c r="G25" s="194"/>
      <c r="H25" s="194"/>
      <c r="I25" s="194"/>
      <c r="J25" s="194"/>
      <c r="K25" s="194"/>
    </row>
    <row r="26" spans="1:11" x14ac:dyDescent="0.25">
      <c r="A26" s="194"/>
      <c r="B26" s="194"/>
      <c r="C26" s="194"/>
      <c r="D26" s="194"/>
      <c r="E26" s="194"/>
      <c r="F26" s="194"/>
      <c r="G26" s="194"/>
      <c r="H26" s="194"/>
      <c r="I26" s="194"/>
      <c r="J26" s="194"/>
      <c r="K26" s="194"/>
    </row>
    <row r="27" spans="1:11" ht="15" customHeight="1" x14ac:dyDescent="0.25">
      <c r="A27" s="194"/>
      <c r="B27" s="194"/>
      <c r="C27" s="194"/>
      <c r="D27" s="194"/>
      <c r="E27" s="194"/>
      <c r="F27" s="194"/>
      <c r="G27" s="194"/>
      <c r="H27" s="194"/>
      <c r="I27" s="194"/>
      <c r="J27" s="194"/>
      <c r="K27" s="194"/>
    </row>
    <row r="28" spans="1:11" ht="15" customHeight="1" x14ac:dyDescent="0.25">
      <c r="A28" s="194"/>
      <c r="B28" s="194"/>
      <c r="C28" s="194"/>
      <c r="D28" s="194"/>
      <c r="E28" s="194"/>
      <c r="F28" s="194"/>
      <c r="G28" s="194"/>
      <c r="H28" s="194"/>
      <c r="I28" s="194"/>
      <c r="J28" s="194"/>
      <c r="K28" s="194"/>
    </row>
    <row r="29" spans="1:11" ht="15" customHeight="1" x14ac:dyDescent="0.25">
      <c r="A29" s="194"/>
      <c r="B29" s="194"/>
      <c r="C29" s="194"/>
      <c r="D29" s="194"/>
      <c r="E29" s="194"/>
      <c r="F29" s="194"/>
      <c r="G29" s="194"/>
      <c r="H29" s="194"/>
      <c r="I29" s="194"/>
      <c r="J29" s="194"/>
      <c r="K29" s="194"/>
    </row>
    <row r="30" spans="1:11" ht="15" customHeight="1" x14ac:dyDescent="0.25">
      <c r="A30" s="194"/>
      <c r="B30" s="194"/>
      <c r="C30" s="194"/>
      <c r="D30" s="194"/>
      <c r="E30" s="194"/>
      <c r="F30" s="194"/>
      <c r="G30" s="194"/>
      <c r="H30" s="194"/>
      <c r="I30" s="194"/>
      <c r="J30" s="194"/>
      <c r="K30" s="194"/>
    </row>
    <row r="31" spans="1:11" ht="15" customHeight="1" x14ac:dyDescent="0.25">
      <c r="A31" s="194"/>
      <c r="B31" s="194"/>
      <c r="C31" s="194"/>
      <c r="D31" s="194"/>
      <c r="E31" s="194"/>
      <c r="F31" s="194"/>
      <c r="G31" s="194"/>
      <c r="H31" s="194"/>
      <c r="I31" s="194"/>
      <c r="J31" s="194"/>
      <c r="K31" s="194"/>
    </row>
    <row r="32" spans="1:11" ht="15" customHeight="1" x14ac:dyDescent="0.25">
      <c r="A32" s="194"/>
      <c r="B32" s="194"/>
      <c r="C32" s="194"/>
      <c r="D32" s="194"/>
      <c r="E32" s="194"/>
      <c r="F32" s="194"/>
      <c r="G32" s="194"/>
      <c r="H32" s="194"/>
      <c r="I32" s="194"/>
      <c r="J32" s="194"/>
      <c r="K32" s="194"/>
    </row>
    <row r="33" spans="1:11" ht="15" customHeight="1" x14ac:dyDescent="0.25">
      <c r="A33" s="194"/>
      <c r="B33" s="194"/>
      <c r="C33" s="194"/>
      <c r="D33" s="194"/>
      <c r="E33" s="194"/>
      <c r="F33" s="194"/>
      <c r="G33" s="194"/>
      <c r="H33" s="194"/>
      <c r="I33" s="194"/>
      <c r="J33" s="194"/>
      <c r="K33" s="194"/>
    </row>
    <row r="34" spans="1:11" ht="15" customHeight="1" x14ac:dyDescent="0.25">
      <c r="A34" s="194"/>
      <c r="B34" s="194"/>
      <c r="C34" s="194"/>
      <c r="D34" s="194"/>
      <c r="E34" s="194"/>
      <c r="F34" s="194"/>
      <c r="G34" s="194"/>
      <c r="H34" s="194"/>
      <c r="I34" s="194"/>
      <c r="J34" s="194"/>
      <c r="K34" s="194"/>
    </row>
    <row r="35" spans="1:11" ht="15" customHeight="1" x14ac:dyDescent="0.25">
      <c r="A35" s="194"/>
      <c r="B35" s="194"/>
      <c r="C35" s="194"/>
      <c r="D35" s="194"/>
      <c r="E35" s="194"/>
      <c r="F35" s="194"/>
      <c r="G35" s="194"/>
      <c r="H35" s="194"/>
      <c r="I35" s="194"/>
      <c r="J35" s="194"/>
      <c r="K35" s="194"/>
    </row>
    <row r="36" spans="1:11" ht="15" customHeight="1" x14ac:dyDescent="0.25">
      <c r="A36" s="194"/>
      <c r="B36" s="194"/>
      <c r="C36" s="194"/>
      <c r="D36" s="194"/>
      <c r="E36" s="194"/>
      <c r="F36" s="194"/>
      <c r="G36" s="194"/>
      <c r="H36" s="194"/>
      <c r="I36" s="194"/>
      <c r="J36" s="194"/>
      <c r="K36" s="194"/>
    </row>
    <row r="37" spans="1:11" ht="15" customHeight="1" x14ac:dyDescent="0.25">
      <c r="A37" s="194"/>
      <c r="B37" s="194"/>
      <c r="C37" s="194"/>
      <c r="D37" s="194"/>
      <c r="E37" s="194"/>
      <c r="F37" s="194"/>
      <c r="G37" s="194"/>
      <c r="H37" s="194"/>
      <c r="I37" s="194"/>
      <c r="J37" s="194"/>
      <c r="K37" s="194"/>
    </row>
    <row r="38" spans="1:11" ht="15" customHeight="1" x14ac:dyDescent="0.25">
      <c r="A38" s="194"/>
      <c r="B38" s="194"/>
      <c r="C38" s="194"/>
      <c r="D38" s="194"/>
      <c r="E38" s="194"/>
      <c r="F38" s="194"/>
      <c r="G38" s="194"/>
      <c r="H38" s="194"/>
      <c r="I38" s="194"/>
      <c r="J38" s="194"/>
      <c r="K38" s="194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4">
    <mergeCell ref="D2:K2"/>
    <mergeCell ref="A8:E8"/>
    <mergeCell ref="A9:K9"/>
    <mergeCell ref="A10:K38"/>
  </mergeCells>
  <conditionalFormatting sqref="D7">
    <cfRule type="cellIs" dxfId="11" priority="2" operator="equal">
      <formula>0</formula>
    </cfRule>
  </conditionalFormatting>
  <conditionalFormatting sqref="G4:I7">
    <cfRule type="cellIs" dxfId="10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68FBA-0988-42CA-8E7D-6C52CE2438A2}">
  <sheetPr>
    <tabColor theme="9" tint="-0.249977111117893"/>
  </sheetPr>
  <dimension ref="A1"/>
  <sheetViews>
    <sheetView workbookViewId="0">
      <selection activeCell="Q27" sqref="Q27"/>
    </sheetView>
  </sheetViews>
  <sheetFormatPr defaultRowHeight="15" x14ac:dyDescent="0.25"/>
  <sheetData/>
  <pageMargins left="0.7" right="0.7" top="0.75" bottom="0.75" header="0.3" footer="0.3"/>
  <pageSetup paperSize="9"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2:M42"/>
  <sheetViews>
    <sheetView showWhiteSpace="0" view="pageBreakPreview" topLeftCell="A7" zoomScaleNormal="100" zoomScaleSheetLayoutView="100" zoomScalePageLayoutView="55" workbookViewId="0">
      <selection activeCell="H57" sqref="H57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3" ht="23.25" x14ac:dyDescent="0.35">
      <c r="B2" s="81"/>
      <c r="C2" s="81"/>
      <c r="D2" s="193" t="s">
        <v>192</v>
      </c>
      <c r="E2" s="193"/>
      <c r="F2" s="193"/>
      <c r="G2" s="193"/>
      <c r="H2" s="193"/>
      <c r="I2" s="193"/>
      <c r="J2" s="193"/>
      <c r="K2" s="193"/>
    </row>
    <row r="3" spans="1:13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  <c r="M3" t="s">
        <v>210</v>
      </c>
    </row>
    <row r="4" spans="1:13" ht="15.75" x14ac:dyDescent="0.25">
      <c r="A4" s="82" t="s">
        <v>87</v>
      </c>
      <c r="B4" s="54"/>
      <c r="C4" s="54" t="s">
        <v>65</v>
      </c>
      <c r="D4" s="83">
        <f>MASTER!F5</f>
        <v>0</v>
      </c>
      <c r="E4" s="77"/>
      <c r="F4" s="77"/>
      <c r="G4" s="55"/>
      <c r="H4" s="55"/>
      <c r="I4" s="55"/>
    </row>
    <row r="5" spans="1:13" ht="15.75" x14ac:dyDescent="0.25">
      <c r="A5" s="82" t="s">
        <v>88</v>
      </c>
      <c r="B5" s="54"/>
      <c r="C5" s="54" t="s">
        <v>65</v>
      </c>
      <c r="D5" s="77">
        <f>MASTER!F7</f>
        <v>0</v>
      </c>
      <c r="E5" s="78"/>
      <c r="F5" s="78"/>
      <c r="G5" s="56"/>
      <c r="H5" s="56"/>
      <c r="I5" s="56"/>
    </row>
    <row r="6" spans="1:13" ht="15.75" x14ac:dyDescent="0.25">
      <c r="A6" s="82" t="s">
        <v>141</v>
      </c>
      <c r="B6" s="54"/>
      <c r="C6" s="54" t="s">
        <v>65</v>
      </c>
      <c r="D6" s="77">
        <f>MASTER!F11</f>
        <v>0</v>
      </c>
      <c r="E6" s="78"/>
      <c r="F6" s="78"/>
      <c r="G6" s="56"/>
      <c r="H6" s="56"/>
      <c r="I6" s="56"/>
    </row>
    <row r="7" spans="1:13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3" x14ac:dyDescent="0.25">
      <c r="A8" s="199"/>
      <c r="B8" s="199"/>
      <c r="C8" s="199"/>
      <c r="D8" s="199"/>
      <c r="E8" s="199"/>
    </row>
    <row r="9" spans="1:13" x14ac:dyDescent="0.25">
      <c r="A9" s="194" t="s">
        <v>211</v>
      </c>
      <c r="B9" s="194"/>
      <c r="C9" s="194"/>
      <c r="D9" s="194"/>
      <c r="E9" s="194"/>
      <c r="G9" s="194" t="s">
        <v>195</v>
      </c>
      <c r="H9" s="194"/>
      <c r="I9" s="194"/>
      <c r="J9" s="194"/>
      <c r="K9" s="194"/>
    </row>
    <row r="10" spans="1:13" x14ac:dyDescent="0.25">
      <c r="A10" s="195"/>
      <c r="B10" s="196"/>
      <c r="C10" s="196"/>
      <c r="D10" s="196"/>
      <c r="E10" s="197"/>
      <c r="G10" s="195"/>
      <c r="H10" s="196"/>
      <c r="I10" s="196"/>
      <c r="J10" s="196"/>
      <c r="K10" s="197"/>
    </row>
    <row r="11" spans="1:13" x14ac:dyDescent="0.25">
      <c r="A11" s="198"/>
      <c r="B11" s="199"/>
      <c r="C11" s="199"/>
      <c r="D11" s="199"/>
      <c r="E11" s="200"/>
      <c r="G11" s="198"/>
      <c r="H11" s="199"/>
      <c r="I11" s="199"/>
      <c r="J11" s="199"/>
      <c r="K11" s="200"/>
    </row>
    <row r="12" spans="1:13" x14ac:dyDescent="0.25">
      <c r="A12" s="198"/>
      <c r="B12" s="199"/>
      <c r="C12" s="199"/>
      <c r="D12" s="199"/>
      <c r="E12" s="200"/>
      <c r="G12" s="198"/>
      <c r="H12" s="199"/>
      <c r="I12" s="199"/>
      <c r="J12" s="199"/>
      <c r="K12" s="200"/>
    </row>
    <row r="13" spans="1:13" x14ac:dyDescent="0.25">
      <c r="A13" s="198"/>
      <c r="B13" s="199"/>
      <c r="C13" s="199"/>
      <c r="D13" s="199"/>
      <c r="E13" s="200"/>
      <c r="G13" s="198"/>
      <c r="H13" s="199"/>
      <c r="I13" s="199"/>
      <c r="J13" s="199"/>
      <c r="K13" s="200"/>
    </row>
    <row r="14" spans="1:13" x14ac:dyDescent="0.25">
      <c r="A14" s="198"/>
      <c r="B14" s="199"/>
      <c r="C14" s="199"/>
      <c r="D14" s="199"/>
      <c r="E14" s="200"/>
      <c r="G14" s="198"/>
      <c r="H14" s="199"/>
      <c r="I14" s="199"/>
      <c r="J14" s="199"/>
      <c r="K14" s="200"/>
    </row>
    <row r="15" spans="1:13" x14ac:dyDescent="0.25">
      <c r="A15" s="198"/>
      <c r="B15" s="199"/>
      <c r="C15" s="199"/>
      <c r="D15" s="199"/>
      <c r="E15" s="200"/>
      <c r="G15" s="198"/>
      <c r="H15" s="199"/>
      <c r="I15" s="199"/>
      <c r="J15" s="199"/>
      <c r="K15" s="200"/>
    </row>
    <row r="16" spans="1:13" x14ac:dyDescent="0.25">
      <c r="A16" s="198"/>
      <c r="B16" s="199"/>
      <c r="C16" s="199"/>
      <c r="D16" s="199"/>
      <c r="E16" s="200"/>
      <c r="G16" s="198"/>
      <c r="H16" s="199"/>
      <c r="I16" s="199"/>
      <c r="J16" s="199"/>
      <c r="K16" s="200"/>
    </row>
    <row r="17" spans="1:11" x14ac:dyDescent="0.25">
      <c r="A17" s="198"/>
      <c r="B17" s="199"/>
      <c r="C17" s="199"/>
      <c r="D17" s="199"/>
      <c r="E17" s="200"/>
      <c r="G17" s="198"/>
      <c r="H17" s="199"/>
      <c r="I17" s="199"/>
      <c r="J17" s="199"/>
      <c r="K17" s="200"/>
    </row>
    <row r="18" spans="1:11" x14ac:dyDescent="0.25">
      <c r="A18" s="198"/>
      <c r="B18" s="199"/>
      <c r="C18" s="199"/>
      <c r="D18" s="199"/>
      <c r="E18" s="200"/>
      <c r="G18" s="198"/>
      <c r="H18" s="199"/>
      <c r="I18" s="199"/>
      <c r="J18" s="199"/>
      <c r="K18" s="200"/>
    </row>
    <row r="19" spans="1:11" x14ac:dyDescent="0.25">
      <c r="A19" s="198"/>
      <c r="B19" s="199"/>
      <c r="C19" s="199"/>
      <c r="D19" s="199"/>
      <c r="E19" s="200"/>
      <c r="G19" s="198"/>
      <c r="H19" s="199"/>
      <c r="I19" s="199"/>
      <c r="J19" s="199"/>
      <c r="K19" s="200"/>
    </row>
    <row r="20" spans="1:11" x14ac:dyDescent="0.25">
      <c r="A20" s="198"/>
      <c r="B20" s="199"/>
      <c r="C20" s="199"/>
      <c r="D20" s="199"/>
      <c r="E20" s="200"/>
      <c r="G20" s="198"/>
      <c r="H20" s="199"/>
      <c r="I20" s="199"/>
      <c r="J20" s="199"/>
      <c r="K20" s="200"/>
    </row>
    <row r="21" spans="1:11" x14ac:dyDescent="0.25">
      <c r="A21" s="198"/>
      <c r="B21" s="199"/>
      <c r="C21" s="199"/>
      <c r="D21" s="199"/>
      <c r="E21" s="200"/>
      <c r="G21" s="198"/>
      <c r="H21" s="199"/>
      <c r="I21" s="199"/>
      <c r="J21" s="199"/>
      <c r="K21" s="200"/>
    </row>
    <row r="22" spans="1:11" x14ac:dyDescent="0.25">
      <c r="A22" s="198"/>
      <c r="B22" s="199"/>
      <c r="C22" s="199"/>
      <c r="D22" s="199"/>
      <c r="E22" s="200"/>
      <c r="G22" s="198"/>
      <c r="H22" s="199"/>
      <c r="I22" s="199"/>
      <c r="J22" s="199"/>
      <c r="K22" s="200"/>
    </row>
    <row r="23" spans="1:11" x14ac:dyDescent="0.25">
      <c r="A23" s="198"/>
      <c r="B23" s="199"/>
      <c r="C23" s="199"/>
      <c r="D23" s="199"/>
      <c r="E23" s="200"/>
      <c r="G23" s="198"/>
      <c r="H23" s="199"/>
      <c r="I23" s="199"/>
      <c r="J23" s="199"/>
      <c r="K23" s="200"/>
    </row>
    <row r="24" spans="1:11" x14ac:dyDescent="0.25">
      <c r="A24" s="201"/>
      <c r="B24" s="202"/>
      <c r="C24" s="202"/>
      <c r="D24" s="202"/>
      <c r="E24" s="203"/>
      <c r="G24" s="201"/>
      <c r="H24" s="202"/>
      <c r="I24" s="202"/>
      <c r="J24" s="202"/>
      <c r="K24" s="203"/>
    </row>
    <row r="26" spans="1:11" x14ac:dyDescent="0.25">
      <c r="A26" s="194" t="s">
        <v>195</v>
      </c>
      <c r="B26" s="194"/>
      <c r="C26" s="194"/>
      <c r="D26" s="194"/>
      <c r="E26" s="194"/>
      <c r="G26" s="194" t="s">
        <v>195</v>
      </c>
      <c r="H26" s="194"/>
      <c r="I26" s="194"/>
      <c r="J26" s="194"/>
      <c r="K26" s="194"/>
    </row>
    <row r="27" spans="1:11" x14ac:dyDescent="0.25">
      <c r="A27" s="195"/>
      <c r="B27" s="196"/>
      <c r="C27" s="196"/>
      <c r="D27" s="196"/>
      <c r="E27" s="197"/>
      <c r="G27" s="195"/>
      <c r="H27" s="196"/>
      <c r="I27" s="196"/>
      <c r="J27" s="196"/>
      <c r="K27" s="197"/>
    </row>
    <row r="28" spans="1:11" x14ac:dyDescent="0.25">
      <c r="A28" s="198"/>
      <c r="B28" s="199"/>
      <c r="C28" s="199"/>
      <c r="D28" s="199"/>
      <c r="E28" s="200"/>
      <c r="G28" s="198"/>
      <c r="H28" s="199"/>
      <c r="I28" s="199"/>
      <c r="J28" s="199"/>
      <c r="K28" s="200"/>
    </row>
    <row r="29" spans="1:11" x14ac:dyDescent="0.25">
      <c r="A29" s="198"/>
      <c r="B29" s="199"/>
      <c r="C29" s="199"/>
      <c r="D29" s="199"/>
      <c r="E29" s="200"/>
      <c r="G29" s="198"/>
      <c r="H29" s="199"/>
      <c r="I29" s="199"/>
      <c r="J29" s="199"/>
      <c r="K29" s="200"/>
    </row>
    <row r="30" spans="1:11" x14ac:dyDescent="0.25">
      <c r="A30" s="198"/>
      <c r="B30" s="199"/>
      <c r="C30" s="199"/>
      <c r="D30" s="199"/>
      <c r="E30" s="200"/>
      <c r="G30" s="198"/>
      <c r="H30" s="199"/>
      <c r="I30" s="199"/>
      <c r="J30" s="199"/>
      <c r="K30" s="200"/>
    </row>
    <row r="31" spans="1:11" x14ac:dyDescent="0.25">
      <c r="A31" s="198"/>
      <c r="B31" s="199"/>
      <c r="C31" s="199"/>
      <c r="D31" s="199"/>
      <c r="E31" s="200"/>
      <c r="G31" s="198"/>
      <c r="H31" s="199"/>
      <c r="I31" s="199"/>
      <c r="J31" s="199"/>
      <c r="K31" s="200"/>
    </row>
    <row r="32" spans="1:11" x14ac:dyDescent="0.25">
      <c r="A32" s="198"/>
      <c r="B32" s="199"/>
      <c r="C32" s="199"/>
      <c r="D32" s="199"/>
      <c r="E32" s="200"/>
      <c r="G32" s="198"/>
      <c r="H32" s="199"/>
      <c r="I32" s="199"/>
      <c r="J32" s="199"/>
      <c r="K32" s="200"/>
    </row>
    <row r="33" spans="1:11" x14ac:dyDescent="0.25">
      <c r="A33" s="198"/>
      <c r="B33" s="199"/>
      <c r="C33" s="199"/>
      <c r="D33" s="199"/>
      <c r="E33" s="200"/>
      <c r="G33" s="198"/>
      <c r="H33" s="199"/>
      <c r="I33" s="199"/>
      <c r="J33" s="199"/>
      <c r="K33" s="200"/>
    </row>
    <row r="34" spans="1:11" x14ac:dyDescent="0.25">
      <c r="A34" s="198"/>
      <c r="B34" s="199"/>
      <c r="C34" s="199"/>
      <c r="D34" s="199"/>
      <c r="E34" s="200"/>
      <c r="G34" s="198"/>
      <c r="H34" s="199"/>
      <c r="I34" s="199"/>
      <c r="J34" s="199"/>
      <c r="K34" s="200"/>
    </row>
    <row r="35" spans="1:11" x14ac:dyDescent="0.25">
      <c r="A35" s="198"/>
      <c r="B35" s="199"/>
      <c r="C35" s="199"/>
      <c r="D35" s="199"/>
      <c r="E35" s="200"/>
      <c r="G35" s="198"/>
      <c r="H35" s="199"/>
      <c r="I35" s="199"/>
      <c r="J35" s="199"/>
      <c r="K35" s="200"/>
    </row>
    <row r="36" spans="1:11" x14ac:dyDescent="0.25">
      <c r="A36" s="198"/>
      <c r="B36" s="199"/>
      <c r="C36" s="199"/>
      <c r="D36" s="199"/>
      <c r="E36" s="200"/>
      <c r="G36" s="198"/>
      <c r="H36" s="199"/>
      <c r="I36" s="199"/>
      <c r="J36" s="199"/>
      <c r="K36" s="200"/>
    </row>
    <row r="37" spans="1:11" x14ac:dyDescent="0.25">
      <c r="A37" s="198"/>
      <c r="B37" s="199"/>
      <c r="C37" s="199"/>
      <c r="D37" s="199"/>
      <c r="E37" s="200"/>
      <c r="G37" s="198"/>
      <c r="H37" s="199"/>
      <c r="I37" s="199"/>
      <c r="J37" s="199"/>
      <c r="K37" s="200"/>
    </row>
    <row r="38" spans="1:11" x14ac:dyDescent="0.25">
      <c r="A38" s="198"/>
      <c r="B38" s="199"/>
      <c r="C38" s="199"/>
      <c r="D38" s="199"/>
      <c r="E38" s="200"/>
      <c r="G38" s="198"/>
      <c r="H38" s="199"/>
      <c r="I38" s="199"/>
      <c r="J38" s="199"/>
      <c r="K38" s="200"/>
    </row>
    <row r="39" spans="1:11" x14ac:dyDescent="0.25">
      <c r="A39" s="198"/>
      <c r="B39" s="199"/>
      <c r="C39" s="199"/>
      <c r="D39" s="199"/>
      <c r="E39" s="200"/>
      <c r="G39" s="198"/>
      <c r="H39" s="199"/>
      <c r="I39" s="199"/>
      <c r="J39" s="199"/>
      <c r="K39" s="200"/>
    </row>
    <row r="40" spans="1:11" x14ac:dyDescent="0.25">
      <c r="A40" s="198"/>
      <c r="B40" s="199"/>
      <c r="C40" s="199"/>
      <c r="D40" s="199"/>
      <c r="E40" s="200"/>
      <c r="G40" s="198"/>
      <c r="H40" s="199"/>
      <c r="I40" s="199"/>
      <c r="J40" s="199"/>
      <c r="K40" s="200"/>
    </row>
    <row r="41" spans="1:11" x14ac:dyDescent="0.25">
      <c r="A41" s="201"/>
      <c r="B41" s="202"/>
      <c r="C41" s="202"/>
      <c r="D41" s="202"/>
      <c r="E41" s="203"/>
      <c r="G41" s="201"/>
      <c r="H41" s="202"/>
      <c r="I41" s="202"/>
      <c r="J41" s="202"/>
      <c r="K41" s="203"/>
    </row>
    <row r="42" spans="1:11" x14ac:dyDescent="0.25">
      <c r="A42" s="85"/>
      <c r="B42" s="84"/>
      <c r="C42" s="85"/>
      <c r="D42" s="85"/>
      <c r="E42" s="85"/>
      <c r="G42" s="85"/>
      <c r="H42" s="85"/>
      <c r="I42" s="85"/>
      <c r="J42" s="85"/>
      <c r="K42" s="85"/>
    </row>
  </sheetData>
  <protectedRanges>
    <protectedRange sqref="E4:J7" name="Range1_4"/>
    <protectedRange sqref="D5:D6" name="Range1_4_2"/>
    <protectedRange sqref="D4" name="Range1_4_2_1_1"/>
  </protectedRanges>
  <mergeCells count="10">
    <mergeCell ref="D2:K2"/>
    <mergeCell ref="G26:K26"/>
    <mergeCell ref="A27:E41"/>
    <mergeCell ref="G27:K41"/>
    <mergeCell ref="G9:K9"/>
    <mergeCell ref="A9:E9"/>
    <mergeCell ref="A8:E8"/>
    <mergeCell ref="A26:E26"/>
    <mergeCell ref="G10:K24"/>
    <mergeCell ref="A10:E24"/>
  </mergeCells>
  <conditionalFormatting sqref="D7">
    <cfRule type="cellIs" dxfId="9" priority="2" operator="equal">
      <formula>0</formula>
    </cfRule>
  </conditionalFormatting>
  <conditionalFormatting sqref="G4:I7">
    <cfRule type="cellIs" dxfId="8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4294967292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4A391-C5EA-4FC6-84F3-35FE0CBA923E}">
  <sheetPr codeName="Sheet8"/>
  <dimension ref="A2:K57"/>
  <sheetViews>
    <sheetView showWhiteSpace="0" view="pageBreakPreview" topLeftCell="A46" zoomScaleNormal="100" zoomScaleSheetLayoutView="100" zoomScalePageLayoutView="55" workbookViewId="0">
      <selection activeCell="N51" sqref="N51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304" t="s">
        <v>196</v>
      </c>
      <c r="E2" s="304"/>
      <c r="F2" s="304"/>
      <c r="G2" s="304"/>
      <c r="H2" s="304"/>
      <c r="I2" s="304"/>
      <c r="J2" s="304"/>
      <c r="K2" s="304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SKOM!D4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SKOM!D5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>
        <f>SKOM!D6</f>
        <v>0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220</v>
      </c>
      <c r="B9" s="194"/>
      <c r="C9" s="194"/>
      <c r="D9" s="194"/>
      <c r="E9" s="194"/>
      <c r="G9" s="194" t="s">
        <v>220</v>
      </c>
      <c r="H9" s="194"/>
      <c r="I9" s="194"/>
      <c r="J9" s="194"/>
      <c r="K9" s="194"/>
    </row>
    <row r="10" spans="1:11" x14ac:dyDescent="0.25">
      <c r="A10" s="213"/>
      <c r="B10" s="214"/>
      <c r="C10" s="214"/>
      <c r="D10" s="214"/>
      <c r="E10" s="215"/>
      <c r="G10" s="195"/>
      <c r="H10" s="196"/>
      <c r="I10" s="196"/>
      <c r="J10" s="196"/>
      <c r="K10" s="197"/>
    </row>
    <row r="11" spans="1:11" x14ac:dyDescent="0.25">
      <c r="A11" s="216"/>
      <c r="B11" s="217"/>
      <c r="C11" s="217"/>
      <c r="D11" s="217"/>
      <c r="E11" s="218"/>
      <c r="G11" s="198"/>
      <c r="H11" s="199"/>
      <c r="I11" s="199"/>
      <c r="J11" s="199"/>
      <c r="K11" s="200"/>
    </row>
    <row r="12" spans="1:11" x14ac:dyDescent="0.25">
      <c r="A12" s="216"/>
      <c r="B12" s="217"/>
      <c r="C12" s="217"/>
      <c r="D12" s="217"/>
      <c r="E12" s="218"/>
      <c r="G12" s="198"/>
      <c r="H12" s="199"/>
      <c r="I12" s="199"/>
      <c r="J12" s="199"/>
      <c r="K12" s="200"/>
    </row>
    <row r="13" spans="1:11" x14ac:dyDescent="0.25">
      <c r="A13" s="216"/>
      <c r="B13" s="217"/>
      <c r="C13" s="217"/>
      <c r="D13" s="217"/>
      <c r="E13" s="218"/>
      <c r="G13" s="198"/>
      <c r="H13" s="199"/>
      <c r="I13" s="199"/>
      <c r="J13" s="199"/>
      <c r="K13" s="200"/>
    </row>
    <row r="14" spans="1:11" x14ac:dyDescent="0.25">
      <c r="A14" s="216"/>
      <c r="B14" s="217"/>
      <c r="C14" s="217"/>
      <c r="D14" s="217"/>
      <c r="E14" s="218"/>
      <c r="G14" s="198"/>
      <c r="H14" s="199"/>
      <c r="I14" s="199"/>
      <c r="J14" s="199"/>
      <c r="K14" s="200"/>
    </row>
    <row r="15" spans="1:11" x14ac:dyDescent="0.25">
      <c r="A15" s="216"/>
      <c r="B15" s="217"/>
      <c r="C15" s="217"/>
      <c r="D15" s="217"/>
      <c r="E15" s="218"/>
      <c r="G15" s="198"/>
      <c r="H15" s="199"/>
      <c r="I15" s="199"/>
      <c r="J15" s="199"/>
      <c r="K15" s="200"/>
    </row>
    <row r="16" spans="1:11" x14ac:dyDescent="0.25">
      <c r="A16" s="216"/>
      <c r="B16" s="217"/>
      <c r="C16" s="217"/>
      <c r="D16" s="217"/>
      <c r="E16" s="218"/>
      <c r="G16" s="198"/>
      <c r="H16" s="199"/>
      <c r="I16" s="199"/>
      <c r="J16" s="199"/>
      <c r="K16" s="200"/>
    </row>
    <row r="17" spans="1:11" x14ac:dyDescent="0.25">
      <c r="A17" s="216"/>
      <c r="B17" s="217"/>
      <c r="C17" s="217"/>
      <c r="D17" s="217"/>
      <c r="E17" s="218"/>
      <c r="G17" s="198"/>
      <c r="H17" s="199"/>
      <c r="I17" s="199"/>
      <c r="J17" s="199"/>
      <c r="K17" s="200"/>
    </row>
    <row r="18" spans="1:11" x14ac:dyDescent="0.25">
      <c r="A18" s="216"/>
      <c r="B18" s="217"/>
      <c r="C18" s="217"/>
      <c r="D18" s="217"/>
      <c r="E18" s="218"/>
      <c r="G18" s="198"/>
      <c r="H18" s="199"/>
      <c r="I18" s="199"/>
      <c r="J18" s="199"/>
      <c r="K18" s="200"/>
    </row>
    <row r="19" spans="1:11" x14ac:dyDescent="0.25">
      <c r="A19" s="216"/>
      <c r="B19" s="217"/>
      <c r="C19" s="217"/>
      <c r="D19" s="217"/>
      <c r="E19" s="218"/>
      <c r="G19" s="198"/>
      <c r="H19" s="199"/>
      <c r="I19" s="199"/>
      <c r="J19" s="199"/>
      <c r="K19" s="200"/>
    </row>
    <row r="20" spans="1:11" x14ac:dyDescent="0.25">
      <c r="A20" s="216"/>
      <c r="B20" s="217"/>
      <c r="C20" s="217"/>
      <c r="D20" s="217"/>
      <c r="E20" s="218"/>
      <c r="G20" s="198"/>
      <c r="H20" s="199"/>
      <c r="I20" s="199"/>
      <c r="J20" s="199"/>
      <c r="K20" s="200"/>
    </row>
    <row r="21" spans="1:11" x14ac:dyDescent="0.25">
      <c r="A21" s="216"/>
      <c r="B21" s="217"/>
      <c r="C21" s="217"/>
      <c r="D21" s="217"/>
      <c r="E21" s="218"/>
      <c r="G21" s="198"/>
      <c r="H21" s="199"/>
      <c r="I21" s="199"/>
      <c r="J21" s="199"/>
      <c r="K21" s="200"/>
    </row>
    <row r="22" spans="1:11" x14ac:dyDescent="0.25">
      <c r="A22" s="216"/>
      <c r="B22" s="217"/>
      <c r="C22" s="217"/>
      <c r="D22" s="217"/>
      <c r="E22" s="218"/>
      <c r="G22" s="198"/>
      <c r="H22" s="199"/>
      <c r="I22" s="199"/>
      <c r="J22" s="199"/>
      <c r="K22" s="200"/>
    </row>
    <row r="23" spans="1:11" x14ac:dyDescent="0.25">
      <c r="A23" s="216"/>
      <c r="B23" s="217"/>
      <c r="C23" s="217"/>
      <c r="D23" s="217"/>
      <c r="E23" s="218"/>
      <c r="G23" s="198"/>
      <c r="H23" s="199"/>
      <c r="I23" s="199"/>
      <c r="J23" s="199"/>
      <c r="K23" s="200"/>
    </row>
    <row r="24" spans="1:11" x14ac:dyDescent="0.25">
      <c r="A24" s="219"/>
      <c r="B24" s="220"/>
      <c r="C24" s="220"/>
      <c r="D24" s="220"/>
      <c r="E24" s="221"/>
      <c r="G24" s="201"/>
      <c r="H24" s="202"/>
      <c r="I24" s="202"/>
      <c r="J24" s="202"/>
      <c r="K24" s="203"/>
    </row>
    <row r="26" spans="1:11" x14ac:dyDescent="0.25">
      <c r="A26" s="194" t="s">
        <v>220</v>
      </c>
      <c r="B26" s="194"/>
      <c r="C26" s="194"/>
      <c r="D26" s="194"/>
      <c r="E26" s="194"/>
      <c r="G26" s="194" t="s">
        <v>220</v>
      </c>
      <c r="H26" s="194"/>
      <c r="I26" s="194"/>
      <c r="J26" s="194"/>
      <c r="K26" s="194"/>
    </row>
    <row r="27" spans="1:11" x14ac:dyDescent="0.25">
      <c r="A27" s="195"/>
      <c r="B27" s="196"/>
      <c r="C27" s="196"/>
      <c r="D27" s="196"/>
      <c r="E27" s="197"/>
      <c r="G27" s="305"/>
      <c r="H27" s="306"/>
      <c r="I27" s="306"/>
      <c r="J27" s="306"/>
      <c r="K27" s="307"/>
    </row>
    <row r="28" spans="1:11" x14ac:dyDescent="0.25">
      <c r="A28" s="198"/>
      <c r="B28" s="199"/>
      <c r="C28" s="199"/>
      <c r="D28" s="199"/>
      <c r="E28" s="200"/>
      <c r="G28" s="308"/>
      <c r="H28" s="309"/>
      <c r="I28" s="309"/>
      <c r="J28" s="309"/>
      <c r="K28" s="310"/>
    </row>
    <row r="29" spans="1:11" x14ac:dyDescent="0.25">
      <c r="A29" s="198"/>
      <c r="B29" s="199"/>
      <c r="C29" s="199"/>
      <c r="D29" s="199"/>
      <c r="E29" s="200"/>
      <c r="G29" s="308"/>
      <c r="H29" s="309"/>
      <c r="I29" s="309"/>
      <c r="J29" s="309"/>
      <c r="K29" s="310"/>
    </row>
    <row r="30" spans="1:11" x14ac:dyDescent="0.25">
      <c r="A30" s="198"/>
      <c r="B30" s="199"/>
      <c r="C30" s="199"/>
      <c r="D30" s="199"/>
      <c r="E30" s="200"/>
      <c r="G30" s="308"/>
      <c r="H30" s="309"/>
      <c r="I30" s="309"/>
      <c r="J30" s="309"/>
      <c r="K30" s="310"/>
    </row>
    <row r="31" spans="1:11" x14ac:dyDescent="0.25">
      <c r="A31" s="198"/>
      <c r="B31" s="199"/>
      <c r="C31" s="199"/>
      <c r="D31" s="199"/>
      <c r="E31" s="200"/>
      <c r="G31" s="308"/>
      <c r="H31" s="309"/>
      <c r="I31" s="309"/>
      <c r="J31" s="309"/>
      <c r="K31" s="310"/>
    </row>
    <row r="32" spans="1:11" x14ac:dyDescent="0.25">
      <c r="A32" s="198"/>
      <c r="B32" s="199"/>
      <c r="C32" s="199"/>
      <c r="D32" s="199"/>
      <c r="E32" s="200"/>
      <c r="G32" s="308"/>
      <c r="H32" s="309"/>
      <c r="I32" s="309"/>
      <c r="J32" s="309"/>
      <c r="K32" s="310"/>
    </row>
    <row r="33" spans="1:11" x14ac:dyDescent="0.25">
      <c r="A33" s="198"/>
      <c r="B33" s="199"/>
      <c r="C33" s="199"/>
      <c r="D33" s="199"/>
      <c r="E33" s="200"/>
      <c r="G33" s="308"/>
      <c r="H33" s="309"/>
      <c r="I33" s="309"/>
      <c r="J33" s="309"/>
      <c r="K33" s="310"/>
    </row>
    <row r="34" spans="1:11" x14ac:dyDescent="0.25">
      <c r="A34" s="198"/>
      <c r="B34" s="199"/>
      <c r="C34" s="199"/>
      <c r="D34" s="199"/>
      <c r="E34" s="200"/>
      <c r="G34" s="308"/>
      <c r="H34" s="309"/>
      <c r="I34" s="309"/>
      <c r="J34" s="309"/>
      <c r="K34" s="310"/>
    </row>
    <row r="35" spans="1:11" x14ac:dyDescent="0.25">
      <c r="A35" s="198"/>
      <c r="B35" s="199"/>
      <c r="C35" s="199"/>
      <c r="D35" s="199"/>
      <c r="E35" s="200"/>
      <c r="G35" s="308"/>
      <c r="H35" s="309"/>
      <c r="I35" s="309"/>
      <c r="J35" s="309"/>
      <c r="K35" s="310"/>
    </row>
    <row r="36" spans="1:11" x14ac:dyDescent="0.25">
      <c r="A36" s="198"/>
      <c r="B36" s="199"/>
      <c r="C36" s="199"/>
      <c r="D36" s="199"/>
      <c r="E36" s="200"/>
      <c r="G36" s="308"/>
      <c r="H36" s="309"/>
      <c r="I36" s="309"/>
      <c r="J36" s="309"/>
      <c r="K36" s="310"/>
    </row>
    <row r="37" spans="1:11" x14ac:dyDescent="0.25">
      <c r="A37" s="198"/>
      <c r="B37" s="199"/>
      <c r="C37" s="199"/>
      <c r="D37" s="199"/>
      <c r="E37" s="200"/>
      <c r="G37" s="308"/>
      <c r="H37" s="309"/>
      <c r="I37" s="309"/>
      <c r="J37" s="309"/>
      <c r="K37" s="310"/>
    </row>
    <row r="38" spans="1:11" x14ac:dyDescent="0.25">
      <c r="A38" s="198"/>
      <c r="B38" s="199"/>
      <c r="C38" s="199"/>
      <c r="D38" s="199"/>
      <c r="E38" s="200"/>
      <c r="G38" s="308"/>
      <c r="H38" s="309"/>
      <c r="I38" s="309"/>
      <c r="J38" s="309"/>
      <c r="K38" s="310"/>
    </row>
    <row r="39" spans="1:11" x14ac:dyDescent="0.25">
      <c r="A39" s="198"/>
      <c r="B39" s="199"/>
      <c r="C39" s="199"/>
      <c r="D39" s="199"/>
      <c r="E39" s="200"/>
      <c r="G39" s="308"/>
      <c r="H39" s="309"/>
      <c r="I39" s="309"/>
      <c r="J39" s="309"/>
      <c r="K39" s="310"/>
    </row>
    <row r="40" spans="1:11" x14ac:dyDescent="0.25">
      <c r="A40" s="198"/>
      <c r="B40" s="199"/>
      <c r="C40" s="199"/>
      <c r="D40" s="199"/>
      <c r="E40" s="200"/>
      <c r="G40" s="308"/>
      <c r="H40" s="309"/>
      <c r="I40" s="309"/>
      <c r="J40" s="309"/>
      <c r="K40" s="310"/>
    </row>
    <row r="41" spans="1:11" x14ac:dyDescent="0.25">
      <c r="A41" s="201"/>
      <c r="B41" s="202"/>
      <c r="C41" s="202"/>
      <c r="D41" s="202"/>
      <c r="E41" s="203"/>
      <c r="G41" s="311"/>
      <c r="H41" s="312"/>
      <c r="I41" s="312"/>
      <c r="J41" s="312"/>
      <c r="K41" s="313"/>
    </row>
    <row r="42" spans="1:11" x14ac:dyDescent="0.25">
      <c r="A42" s="85"/>
      <c r="B42" s="84"/>
      <c r="C42" s="85"/>
      <c r="D42" s="85"/>
      <c r="E42" s="85"/>
      <c r="G42" s="85"/>
      <c r="H42" s="85"/>
      <c r="I42" s="85"/>
      <c r="J42" s="85"/>
      <c r="K42" s="85"/>
    </row>
    <row r="43" spans="1:11" x14ac:dyDescent="0.25">
      <c r="A43" s="194" t="s">
        <v>220</v>
      </c>
      <c r="B43" s="194"/>
      <c r="C43" s="194"/>
      <c r="D43" s="194"/>
      <c r="E43" s="194"/>
      <c r="G43" s="194" t="s">
        <v>220</v>
      </c>
      <c r="H43" s="194"/>
      <c r="I43" s="194"/>
      <c r="J43" s="194"/>
      <c r="K43" s="194"/>
    </row>
    <row r="44" spans="1:11" x14ac:dyDescent="0.25">
      <c r="A44" s="195"/>
      <c r="B44" s="196"/>
      <c r="C44" s="196"/>
      <c r="D44" s="196"/>
      <c r="E44" s="197"/>
      <c r="G44" s="195"/>
      <c r="H44" s="196"/>
      <c r="I44" s="196"/>
      <c r="J44" s="196"/>
      <c r="K44" s="197"/>
    </row>
    <row r="45" spans="1:11" x14ac:dyDescent="0.25">
      <c r="A45" s="198"/>
      <c r="B45" s="199"/>
      <c r="C45" s="199"/>
      <c r="D45" s="199"/>
      <c r="E45" s="200"/>
      <c r="G45" s="198"/>
      <c r="H45" s="199"/>
      <c r="I45" s="199"/>
      <c r="J45" s="199"/>
      <c r="K45" s="200"/>
    </row>
    <row r="46" spans="1:11" x14ac:dyDescent="0.25">
      <c r="A46" s="198"/>
      <c r="B46" s="199"/>
      <c r="C46" s="199"/>
      <c r="D46" s="199"/>
      <c r="E46" s="200"/>
      <c r="G46" s="198"/>
      <c r="H46" s="199"/>
      <c r="I46" s="199"/>
      <c r="J46" s="199"/>
      <c r="K46" s="200"/>
    </row>
    <row r="47" spans="1:11" x14ac:dyDescent="0.25">
      <c r="A47" s="198"/>
      <c r="B47" s="199"/>
      <c r="C47" s="199"/>
      <c r="D47" s="199"/>
      <c r="E47" s="200"/>
      <c r="G47" s="198"/>
      <c r="H47" s="199"/>
      <c r="I47" s="199"/>
      <c r="J47" s="199"/>
      <c r="K47" s="200"/>
    </row>
    <row r="48" spans="1:11" x14ac:dyDescent="0.25">
      <c r="A48" s="198"/>
      <c r="B48" s="199"/>
      <c r="C48" s="199"/>
      <c r="D48" s="199"/>
      <c r="E48" s="200"/>
      <c r="G48" s="198"/>
      <c r="H48" s="199"/>
      <c r="I48" s="199"/>
      <c r="J48" s="199"/>
      <c r="K48" s="200"/>
    </row>
    <row r="49" spans="1:11" x14ac:dyDescent="0.25">
      <c r="A49" s="198"/>
      <c r="B49" s="199"/>
      <c r="C49" s="199"/>
      <c r="D49" s="199"/>
      <c r="E49" s="200"/>
      <c r="G49" s="198"/>
      <c r="H49" s="199"/>
      <c r="I49" s="199"/>
      <c r="J49" s="199"/>
      <c r="K49" s="200"/>
    </row>
    <row r="50" spans="1:11" x14ac:dyDescent="0.25">
      <c r="A50" s="198"/>
      <c r="B50" s="199"/>
      <c r="C50" s="199"/>
      <c r="D50" s="199"/>
      <c r="E50" s="200"/>
      <c r="G50" s="198"/>
      <c r="H50" s="199"/>
      <c r="I50" s="199"/>
      <c r="J50" s="199"/>
      <c r="K50" s="200"/>
    </row>
    <row r="51" spans="1:11" x14ac:dyDescent="0.25">
      <c r="A51" s="198"/>
      <c r="B51" s="199"/>
      <c r="C51" s="199"/>
      <c r="D51" s="199"/>
      <c r="E51" s="200"/>
      <c r="G51" s="198"/>
      <c r="H51" s="199"/>
      <c r="I51" s="199"/>
      <c r="J51" s="199"/>
      <c r="K51" s="200"/>
    </row>
    <row r="52" spans="1:11" x14ac:dyDescent="0.25">
      <c r="A52" s="198"/>
      <c r="B52" s="199"/>
      <c r="C52" s="199"/>
      <c r="D52" s="199"/>
      <c r="E52" s="200"/>
      <c r="G52" s="198"/>
      <c r="H52" s="199"/>
      <c r="I52" s="199"/>
      <c r="J52" s="199"/>
      <c r="K52" s="200"/>
    </row>
    <row r="53" spans="1:11" x14ac:dyDescent="0.25">
      <c r="A53" s="198"/>
      <c r="B53" s="199"/>
      <c r="C53" s="199"/>
      <c r="D53" s="199"/>
      <c r="E53" s="200"/>
      <c r="G53" s="198"/>
      <c r="H53" s="199"/>
      <c r="I53" s="199"/>
      <c r="J53" s="199"/>
      <c r="K53" s="200"/>
    </row>
    <row r="54" spans="1:11" x14ac:dyDescent="0.25">
      <c r="A54" s="198"/>
      <c r="B54" s="199"/>
      <c r="C54" s="199"/>
      <c r="D54" s="199"/>
      <c r="E54" s="200"/>
      <c r="G54" s="198"/>
      <c r="H54" s="199"/>
      <c r="I54" s="199"/>
      <c r="J54" s="199"/>
      <c r="K54" s="200"/>
    </row>
    <row r="55" spans="1:11" x14ac:dyDescent="0.25">
      <c r="A55" s="198"/>
      <c r="B55" s="199"/>
      <c r="C55" s="199"/>
      <c r="D55" s="199"/>
      <c r="E55" s="200"/>
      <c r="G55" s="198"/>
      <c r="H55" s="199"/>
      <c r="I55" s="199"/>
      <c r="J55" s="199"/>
      <c r="K55" s="200"/>
    </row>
    <row r="56" spans="1:11" x14ac:dyDescent="0.25">
      <c r="A56" s="198"/>
      <c r="B56" s="199"/>
      <c r="C56" s="199"/>
      <c r="D56" s="199"/>
      <c r="E56" s="200"/>
      <c r="G56" s="198"/>
      <c r="H56" s="199"/>
      <c r="I56" s="199"/>
      <c r="J56" s="199"/>
      <c r="K56" s="200"/>
    </row>
    <row r="57" spans="1:11" x14ac:dyDescent="0.25">
      <c r="A57" s="201"/>
      <c r="B57" s="202"/>
      <c r="C57" s="202"/>
      <c r="D57" s="202"/>
      <c r="E57" s="203"/>
      <c r="G57" s="201"/>
      <c r="H57" s="202"/>
      <c r="I57" s="202"/>
      <c r="J57" s="202"/>
      <c r="K57" s="203"/>
    </row>
  </sheetData>
  <protectedRanges>
    <protectedRange sqref="E4:J7" name="Range1_4"/>
    <protectedRange sqref="D6" name="Range1_4_2_1"/>
    <protectedRange sqref="D5" name="Range1_4_2"/>
    <protectedRange sqref="D4" name="Range1_4_2_1_1_1"/>
  </protectedRanges>
  <mergeCells count="14">
    <mergeCell ref="A43:E43"/>
    <mergeCell ref="G43:K43"/>
    <mergeCell ref="A44:E57"/>
    <mergeCell ref="G44:K57"/>
    <mergeCell ref="A26:E26"/>
    <mergeCell ref="G26:K26"/>
    <mergeCell ref="A27:E41"/>
    <mergeCell ref="G27:K41"/>
    <mergeCell ref="D2:K2"/>
    <mergeCell ref="A8:E8"/>
    <mergeCell ref="A9:E9"/>
    <mergeCell ref="G9:K9"/>
    <mergeCell ref="A10:E24"/>
    <mergeCell ref="G10:K24"/>
  </mergeCells>
  <conditionalFormatting sqref="D7">
    <cfRule type="cellIs" dxfId="7" priority="2" operator="equal">
      <formula>0</formula>
    </cfRule>
  </conditionalFormatting>
  <conditionalFormatting sqref="G4:I7">
    <cfRule type="cellIs" dxfId="6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7DCFC-9D17-4BF7-83F0-6B1B3EDECC92}">
  <sheetPr>
    <tabColor theme="9" tint="-0.249977111117893"/>
  </sheetPr>
  <dimension ref="A1"/>
  <sheetViews>
    <sheetView zoomScaleNormal="100" workbookViewId="0">
      <selection activeCell="Q27" sqref="Q27"/>
    </sheetView>
  </sheetViews>
  <sheetFormatPr defaultRowHeight="15" x14ac:dyDescent="0.25"/>
  <sheetData/>
  <pageMargins left="0.7" right="0.7" top="0.75" bottom="0.75" header="0.3" footer="0.3"/>
  <pageSetup paperSize="9"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05D75-C9B0-4553-ABA1-FEC34497CBED}">
  <sheetPr codeName="Sheet10"/>
  <dimension ref="A2:K72"/>
  <sheetViews>
    <sheetView showWhiteSpace="0" view="pageBreakPreview" topLeftCell="A67" zoomScaleNormal="100" zoomScaleSheetLayoutView="100" zoomScalePageLayoutView="55" workbookViewId="0">
      <selection activeCell="M50" sqref="M50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304" t="s">
        <v>197</v>
      </c>
      <c r="E2" s="304"/>
      <c r="F2" s="304"/>
      <c r="G2" s="304"/>
      <c r="H2" s="304"/>
      <c r="I2" s="304"/>
      <c r="J2" s="304"/>
      <c r="K2" s="304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SKOM!D4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SKOM!D5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>
        <f>SKOM!D6</f>
        <v>0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211</v>
      </c>
      <c r="B9" s="194"/>
      <c r="C9" s="194"/>
      <c r="D9" s="194"/>
      <c r="E9" s="194"/>
      <c r="G9" s="194" t="s">
        <v>204</v>
      </c>
      <c r="H9" s="194"/>
      <c r="I9" s="194"/>
      <c r="J9" s="194"/>
      <c r="K9" s="194"/>
    </row>
    <row r="10" spans="1:11" x14ac:dyDescent="0.25">
      <c r="A10" s="195"/>
      <c r="B10" s="196"/>
      <c r="C10" s="196"/>
      <c r="D10" s="196"/>
      <c r="E10" s="197"/>
      <c r="G10" s="195"/>
      <c r="H10" s="196"/>
      <c r="I10" s="196"/>
      <c r="J10" s="196"/>
      <c r="K10" s="197"/>
    </row>
    <row r="11" spans="1:11" x14ac:dyDescent="0.25">
      <c r="A11" s="198"/>
      <c r="B11" s="199"/>
      <c r="C11" s="199"/>
      <c r="D11" s="199"/>
      <c r="E11" s="200"/>
      <c r="G11" s="198"/>
      <c r="H11" s="199"/>
      <c r="I11" s="199"/>
      <c r="J11" s="199"/>
      <c r="K11" s="200"/>
    </row>
    <row r="12" spans="1:11" x14ac:dyDescent="0.25">
      <c r="A12" s="198"/>
      <c r="B12" s="199"/>
      <c r="C12" s="199"/>
      <c r="D12" s="199"/>
      <c r="E12" s="200"/>
      <c r="G12" s="198"/>
      <c r="H12" s="199"/>
      <c r="I12" s="199"/>
      <c r="J12" s="199"/>
      <c r="K12" s="200"/>
    </row>
    <row r="13" spans="1:11" x14ac:dyDescent="0.25">
      <c r="A13" s="198"/>
      <c r="B13" s="199"/>
      <c r="C13" s="199"/>
      <c r="D13" s="199"/>
      <c r="E13" s="200"/>
      <c r="G13" s="198"/>
      <c r="H13" s="199"/>
      <c r="I13" s="199"/>
      <c r="J13" s="199"/>
      <c r="K13" s="200"/>
    </row>
    <row r="14" spans="1:11" x14ac:dyDescent="0.25">
      <c r="A14" s="198"/>
      <c r="B14" s="199"/>
      <c r="C14" s="199"/>
      <c r="D14" s="199"/>
      <c r="E14" s="200"/>
      <c r="G14" s="198"/>
      <c r="H14" s="199"/>
      <c r="I14" s="199"/>
      <c r="J14" s="199"/>
      <c r="K14" s="200"/>
    </row>
    <row r="15" spans="1:11" x14ac:dyDescent="0.25">
      <c r="A15" s="198"/>
      <c r="B15" s="199"/>
      <c r="C15" s="199"/>
      <c r="D15" s="199"/>
      <c r="E15" s="200"/>
      <c r="G15" s="198"/>
      <c r="H15" s="199"/>
      <c r="I15" s="199"/>
      <c r="J15" s="199"/>
      <c r="K15" s="200"/>
    </row>
    <row r="16" spans="1:11" x14ac:dyDescent="0.25">
      <c r="A16" s="198"/>
      <c r="B16" s="199"/>
      <c r="C16" s="199"/>
      <c r="D16" s="199"/>
      <c r="E16" s="200"/>
      <c r="G16" s="198"/>
      <c r="H16" s="199"/>
      <c r="I16" s="199"/>
      <c r="J16" s="199"/>
      <c r="K16" s="200"/>
    </row>
    <row r="17" spans="1:11" x14ac:dyDescent="0.25">
      <c r="A17" s="198"/>
      <c r="B17" s="199"/>
      <c r="C17" s="199"/>
      <c r="D17" s="199"/>
      <c r="E17" s="200"/>
      <c r="G17" s="198"/>
      <c r="H17" s="199"/>
      <c r="I17" s="199"/>
      <c r="J17" s="199"/>
      <c r="K17" s="200"/>
    </row>
    <row r="18" spans="1:11" x14ac:dyDescent="0.25">
      <c r="A18" s="198"/>
      <c r="B18" s="199"/>
      <c r="C18" s="199"/>
      <c r="D18" s="199"/>
      <c r="E18" s="200"/>
      <c r="G18" s="198"/>
      <c r="H18" s="199"/>
      <c r="I18" s="199"/>
      <c r="J18" s="199"/>
      <c r="K18" s="200"/>
    </row>
    <row r="19" spans="1:11" x14ac:dyDescent="0.25">
      <c r="A19" s="198"/>
      <c r="B19" s="199"/>
      <c r="C19" s="199"/>
      <c r="D19" s="199"/>
      <c r="E19" s="200"/>
      <c r="G19" s="198"/>
      <c r="H19" s="199"/>
      <c r="I19" s="199"/>
      <c r="J19" s="199"/>
      <c r="K19" s="200"/>
    </row>
    <row r="20" spans="1:11" x14ac:dyDescent="0.25">
      <c r="A20" s="198"/>
      <c r="B20" s="199"/>
      <c r="C20" s="199"/>
      <c r="D20" s="199"/>
      <c r="E20" s="200"/>
      <c r="G20" s="198"/>
      <c r="H20" s="199"/>
      <c r="I20" s="199"/>
      <c r="J20" s="199"/>
      <c r="K20" s="200"/>
    </row>
    <row r="21" spans="1:11" x14ac:dyDescent="0.25">
      <c r="A21" s="198"/>
      <c r="B21" s="199"/>
      <c r="C21" s="199"/>
      <c r="D21" s="199"/>
      <c r="E21" s="200"/>
      <c r="G21" s="198"/>
      <c r="H21" s="199"/>
      <c r="I21" s="199"/>
      <c r="J21" s="199"/>
      <c r="K21" s="200"/>
    </row>
    <row r="22" spans="1:11" x14ac:dyDescent="0.25">
      <c r="A22" s="198"/>
      <c r="B22" s="199"/>
      <c r="C22" s="199"/>
      <c r="D22" s="199"/>
      <c r="E22" s="200"/>
      <c r="G22" s="198"/>
      <c r="H22" s="199"/>
      <c r="I22" s="199"/>
      <c r="J22" s="199"/>
      <c r="K22" s="200"/>
    </row>
    <row r="23" spans="1:11" x14ac:dyDescent="0.25">
      <c r="A23" s="198"/>
      <c r="B23" s="199"/>
      <c r="C23" s="199"/>
      <c r="D23" s="199"/>
      <c r="E23" s="200"/>
      <c r="G23" s="198"/>
      <c r="H23" s="199"/>
      <c r="I23" s="199"/>
      <c r="J23" s="199"/>
      <c r="K23" s="200"/>
    </row>
    <row r="24" spans="1:11" x14ac:dyDescent="0.25">
      <c r="A24" s="201"/>
      <c r="B24" s="202"/>
      <c r="C24" s="202"/>
      <c r="D24" s="202"/>
      <c r="E24" s="203"/>
      <c r="G24" s="201"/>
      <c r="H24" s="202"/>
      <c r="I24" s="202"/>
      <c r="J24" s="202"/>
      <c r="K24" s="203"/>
    </row>
    <row r="26" spans="1:11" x14ac:dyDescent="0.25">
      <c r="A26" s="194" t="s">
        <v>193</v>
      </c>
      <c r="B26" s="194"/>
      <c r="C26" s="194"/>
      <c r="D26" s="194"/>
      <c r="E26" s="194"/>
      <c r="G26" s="194" t="s">
        <v>193</v>
      </c>
      <c r="H26" s="194"/>
      <c r="I26" s="194"/>
      <c r="J26" s="194"/>
      <c r="K26" s="194"/>
    </row>
    <row r="27" spans="1:11" x14ac:dyDescent="0.25">
      <c r="A27" s="195"/>
      <c r="B27" s="196"/>
      <c r="C27" s="196"/>
      <c r="D27" s="196"/>
      <c r="E27" s="197"/>
      <c r="G27" s="195"/>
      <c r="H27" s="196"/>
      <c r="I27" s="196"/>
      <c r="J27" s="196"/>
      <c r="K27" s="197"/>
    </row>
    <row r="28" spans="1:11" x14ac:dyDescent="0.25">
      <c r="A28" s="198"/>
      <c r="B28" s="199"/>
      <c r="C28" s="199"/>
      <c r="D28" s="199"/>
      <c r="E28" s="200"/>
      <c r="G28" s="198"/>
      <c r="H28" s="199"/>
      <c r="I28" s="199"/>
      <c r="J28" s="199"/>
      <c r="K28" s="200"/>
    </row>
    <row r="29" spans="1:11" x14ac:dyDescent="0.25">
      <c r="A29" s="198"/>
      <c r="B29" s="199"/>
      <c r="C29" s="199"/>
      <c r="D29" s="199"/>
      <c r="E29" s="200"/>
      <c r="G29" s="198"/>
      <c r="H29" s="199"/>
      <c r="I29" s="199"/>
      <c r="J29" s="199"/>
      <c r="K29" s="200"/>
    </row>
    <row r="30" spans="1:11" x14ac:dyDescent="0.25">
      <c r="A30" s="198"/>
      <c r="B30" s="199"/>
      <c r="C30" s="199"/>
      <c r="D30" s="199"/>
      <c r="E30" s="200"/>
      <c r="G30" s="198"/>
      <c r="H30" s="199"/>
      <c r="I30" s="199"/>
      <c r="J30" s="199"/>
      <c r="K30" s="200"/>
    </row>
    <row r="31" spans="1:11" x14ac:dyDescent="0.25">
      <c r="A31" s="198"/>
      <c r="B31" s="199"/>
      <c r="C31" s="199"/>
      <c r="D31" s="199"/>
      <c r="E31" s="200"/>
      <c r="G31" s="198"/>
      <c r="H31" s="199"/>
      <c r="I31" s="199"/>
      <c r="J31" s="199"/>
      <c r="K31" s="200"/>
    </row>
    <row r="32" spans="1:11" x14ac:dyDescent="0.25">
      <c r="A32" s="198"/>
      <c r="B32" s="199"/>
      <c r="C32" s="199"/>
      <c r="D32" s="199"/>
      <c r="E32" s="200"/>
      <c r="G32" s="198"/>
      <c r="H32" s="199"/>
      <c r="I32" s="199"/>
      <c r="J32" s="199"/>
      <c r="K32" s="200"/>
    </row>
    <row r="33" spans="1:11" x14ac:dyDescent="0.25">
      <c r="A33" s="198"/>
      <c r="B33" s="199"/>
      <c r="C33" s="199"/>
      <c r="D33" s="199"/>
      <c r="E33" s="200"/>
      <c r="G33" s="198"/>
      <c r="H33" s="199"/>
      <c r="I33" s="199"/>
      <c r="J33" s="199"/>
      <c r="K33" s="200"/>
    </row>
    <row r="34" spans="1:11" x14ac:dyDescent="0.25">
      <c r="A34" s="198"/>
      <c r="B34" s="199"/>
      <c r="C34" s="199"/>
      <c r="D34" s="199"/>
      <c r="E34" s="200"/>
      <c r="G34" s="198"/>
      <c r="H34" s="199"/>
      <c r="I34" s="199"/>
      <c r="J34" s="199"/>
      <c r="K34" s="200"/>
    </row>
    <row r="35" spans="1:11" x14ac:dyDescent="0.25">
      <c r="A35" s="198"/>
      <c r="B35" s="199"/>
      <c r="C35" s="199"/>
      <c r="D35" s="199"/>
      <c r="E35" s="200"/>
      <c r="G35" s="198"/>
      <c r="H35" s="199"/>
      <c r="I35" s="199"/>
      <c r="J35" s="199"/>
      <c r="K35" s="200"/>
    </row>
    <row r="36" spans="1:11" x14ac:dyDescent="0.25">
      <c r="A36" s="198"/>
      <c r="B36" s="199"/>
      <c r="C36" s="199"/>
      <c r="D36" s="199"/>
      <c r="E36" s="200"/>
      <c r="G36" s="198"/>
      <c r="H36" s="199"/>
      <c r="I36" s="199"/>
      <c r="J36" s="199"/>
      <c r="K36" s="200"/>
    </row>
    <row r="37" spans="1:11" x14ac:dyDescent="0.25">
      <c r="A37" s="198"/>
      <c r="B37" s="199"/>
      <c r="C37" s="199"/>
      <c r="D37" s="199"/>
      <c r="E37" s="200"/>
      <c r="G37" s="198"/>
      <c r="H37" s="199"/>
      <c r="I37" s="199"/>
      <c r="J37" s="199"/>
      <c r="K37" s="200"/>
    </row>
    <row r="38" spans="1:11" x14ac:dyDescent="0.25">
      <c r="A38" s="198"/>
      <c r="B38" s="199"/>
      <c r="C38" s="199"/>
      <c r="D38" s="199"/>
      <c r="E38" s="200"/>
      <c r="G38" s="198"/>
      <c r="H38" s="199"/>
      <c r="I38" s="199"/>
      <c r="J38" s="199"/>
      <c r="K38" s="200"/>
    </row>
    <row r="39" spans="1:11" x14ac:dyDescent="0.25">
      <c r="A39" s="198"/>
      <c r="B39" s="199"/>
      <c r="C39" s="199"/>
      <c r="D39" s="199"/>
      <c r="E39" s="200"/>
      <c r="G39" s="198"/>
      <c r="H39" s="199"/>
      <c r="I39" s="199"/>
      <c r="J39" s="199"/>
      <c r="K39" s="200"/>
    </row>
    <row r="40" spans="1:11" x14ac:dyDescent="0.25">
      <c r="A40" s="198"/>
      <c r="B40" s="199"/>
      <c r="C40" s="199"/>
      <c r="D40" s="199"/>
      <c r="E40" s="200"/>
      <c r="G40" s="198"/>
      <c r="H40" s="199"/>
      <c r="I40" s="199"/>
      <c r="J40" s="199"/>
      <c r="K40" s="200"/>
    </row>
    <row r="41" spans="1:11" x14ac:dyDescent="0.25">
      <c r="A41" s="201"/>
      <c r="B41" s="202"/>
      <c r="C41" s="202"/>
      <c r="D41" s="202"/>
      <c r="E41" s="203"/>
      <c r="G41" s="201"/>
      <c r="H41" s="202"/>
      <c r="I41" s="202"/>
      <c r="J41" s="202"/>
      <c r="K41" s="203"/>
    </row>
    <row r="42" spans="1:11" x14ac:dyDescent="0.25">
      <c r="A42" s="85"/>
      <c r="B42" s="84"/>
      <c r="C42" s="85"/>
      <c r="D42" s="85"/>
      <c r="E42" s="85"/>
      <c r="G42" s="85"/>
      <c r="H42" s="85"/>
      <c r="I42" s="85"/>
      <c r="J42" s="85"/>
      <c r="K42" s="85"/>
    </row>
    <row r="43" spans="1:11" x14ac:dyDescent="0.25">
      <c r="A43" s="194" t="s">
        <v>203</v>
      </c>
      <c r="B43" s="194"/>
      <c r="C43" s="194"/>
      <c r="D43" s="194"/>
      <c r="E43" s="194"/>
      <c r="G43" s="194" t="s">
        <v>193</v>
      </c>
      <c r="H43" s="194"/>
      <c r="I43" s="194"/>
      <c r="J43" s="194"/>
      <c r="K43" s="194"/>
    </row>
    <row r="44" spans="1:11" x14ac:dyDescent="0.25">
      <c r="A44" s="186"/>
      <c r="B44" s="84"/>
      <c r="C44" s="84"/>
      <c r="D44" s="84"/>
      <c r="E44" s="187"/>
      <c r="G44" s="186"/>
      <c r="H44" s="84"/>
      <c r="I44" s="84"/>
      <c r="J44" s="84"/>
      <c r="K44" s="187"/>
    </row>
    <row r="45" spans="1:11" x14ac:dyDescent="0.25">
      <c r="A45" s="188"/>
      <c r="B45" s="85"/>
      <c r="C45" s="85"/>
      <c r="D45" s="85"/>
      <c r="E45" s="189"/>
      <c r="G45" s="188"/>
      <c r="H45" s="85"/>
      <c r="I45" s="85"/>
      <c r="J45" s="85"/>
      <c r="K45" s="189"/>
    </row>
    <row r="46" spans="1:11" x14ac:dyDescent="0.25">
      <c r="A46" s="188"/>
      <c r="B46" s="85"/>
      <c r="C46" s="85"/>
      <c r="D46" s="85"/>
      <c r="E46" s="189"/>
      <c r="G46" s="188"/>
      <c r="H46" s="85"/>
      <c r="I46" s="85"/>
      <c r="J46" s="85"/>
      <c r="K46" s="189"/>
    </row>
    <row r="47" spans="1:11" x14ac:dyDescent="0.25">
      <c r="A47" s="188"/>
      <c r="B47" s="85"/>
      <c r="C47" s="85"/>
      <c r="D47" s="85"/>
      <c r="E47" s="189"/>
      <c r="G47" s="188"/>
      <c r="H47" s="85"/>
      <c r="I47" s="85"/>
      <c r="J47" s="85"/>
      <c r="K47" s="189"/>
    </row>
    <row r="48" spans="1:11" x14ac:dyDescent="0.25">
      <c r="A48" s="188"/>
      <c r="B48" s="85"/>
      <c r="C48" s="85"/>
      <c r="D48" s="85"/>
      <c r="E48" s="189"/>
      <c r="G48" s="188"/>
      <c r="H48" s="85"/>
      <c r="I48" s="85"/>
      <c r="J48" s="85"/>
      <c r="K48" s="189"/>
    </row>
    <row r="49" spans="1:11" x14ac:dyDescent="0.25">
      <c r="A49" s="188"/>
      <c r="B49" s="85"/>
      <c r="C49" s="85"/>
      <c r="D49" s="85"/>
      <c r="E49" s="189"/>
      <c r="G49" s="188"/>
      <c r="H49" s="85"/>
      <c r="I49" s="85"/>
      <c r="J49" s="85"/>
      <c r="K49" s="189"/>
    </row>
    <row r="50" spans="1:11" x14ac:dyDescent="0.25">
      <c r="A50" s="188"/>
      <c r="B50" s="85"/>
      <c r="C50" s="85"/>
      <c r="D50" s="85"/>
      <c r="E50" s="189"/>
      <c r="G50" s="188"/>
      <c r="H50" s="85"/>
      <c r="I50" s="85"/>
      <c r="J50" s="85"/>
      <c r="K50" s="189"/>
    </row>
    <row r="51" spans="1:11" x14ac:dyDescent="0.25">
      <c r="A51" s="188"/>
      <c r="B51" s="85"/>
      <c r="C51" s="85"/>
      <c r="D51" s="85"/>
      <c r="E51" s="189"/>
      <c r="G51" s="188"/>
      <c r="H51" s="85"/>
      <c r="I51" s="85"/>
      <c r="J51" s="85"/>
      <c r="K51" s="189"/>
    </row>
    <row r="52" spans="1:11" x14ac:dyDescent="0.25">
      <c r="A52" s="188"/>
      <c r="B52" s="85"/>
      <c r="C52" s="85"/>
      <c r="D52" s="85"/>
      <c r="E52" s="189"/>
      <c r="G52" s="188"/>
      <c r="H52" s="85"/>
      <c r="I52" s="85"/>
      <c r="J52" s="85"/>
      <c r="K52" s="189"/>
    </row>
    <row r="53" spans="1:11" x14ac:dyDescent="0.25">
      <c r="A53" s="188"/>
      <c r="B53" s="85"/>
      <c r="C53" s="85"/>
      <c r="D53" s="85"/>
      <c r="E53" s="189"/>
      <c r="G53" s="188"/>
      <c r="H53" s="85"/>
      <c r="I53" s="85"/>
      <c r="J53" s="85"/>
      <c r="K53" s="189"/>
    </row>
    <row r="54" spans="1:11" x14ac:dyDescent="0.25">
      <c r="A54" s="188"/>
      <c r="B54" s="85"/>
      <c r="C54" s="85"/>
      <c r="D54" s="85"/>
      <c r="E54" s="189"/>
      <c r="G54" s="188"/>
      <c r="H54" s="85"/>
      <c r="I54" s="85"/>
      <c r="J54" s="85"/>
      <c r="K54" s="189"/>
    </row>
    <row r="55" spans="1:11" x14ac:dyDescent="0.25">
      <c r="A55" s="188"/>
      <c r="B55" s="85"/>
      <c r="C55" s="85"/>
      <c r="D55" s="85"/>
      <c r="E55" s="189"/>
      <c r="G55" s="188"/>
      <c r="H55" s="85"/>
      <c r="I55" s="85"/>
      <c r="J55" s="85"/>
      <c r="K55" s="189"/>
    </row>
    <row r="56" spans="1:11" x14ac:dyDescent="0.25">
      <c r="A56" s="190"/>
      <c r="B56" s="191"/>
      <c r="C56" s="191"/>
      <c r="D56" s="191"/>
      <c r="E56" s="192"/>
      <c r="G56" s="190"/>
      <c r="H56" s="191"/>
      <c r="I56" s="191"/>
      <c r="J56" s="191"/>
      <c r="K56" s="192"/>
    </row>
    <row r="58" spans="1:11" x14ac:dyDescent="0.25">
      <c r="A58" s="194" t="s">
        <v>203</v>
      </c>
      <c r="B58" s="194"/>
      <c r="C58" s="194"/>
      <c r="D58" s="194"/>
      <c r="E58" s="194"/>
      <c r="G58" s="194" t="s">
        <v>203</v>
      </c>
      <c r="H58" s="194"/>
      <c r="I58" s="194"/>
      <c r="J58" s="194"/>
      <c r="K58" s="194"/>
    </row>
    <row r="59" spans="1:11" x14ac:dyDescent="0.25">
      <c r="A59" s="186"/>
      <c r="B59" s="84"/>
      <c r="C59" s="84"/>
      <c r="D59" s="84"/>
      <c r="E59" s="187"/>
      <c r="G59" s="195"/>
      <c r="H59" s="196"/>
      <c r="I59" s="196"/>
      <c r="J59" s="196"/>
      <c r="K59" s="197"/>
    </row>
    <row r="60" spans="1:11" x14ac:dyDescent="0.25">
      <c r="A60" s="188"/>
      <c r="B60" s="85"/>
      <c r="C60" s="85"/>
      <c r="D60" s="85"/>
      <c r="E60" s="189"/>
      <c r="G60" s="198"/>
      <c r="H60" s="199"/>
      <c r="I60" s="199"/>
      <c r="J60" s="199"/>
      <c r="K60" s="200"/>
    </row>
    <row r="61" spans="1:11" x14ac:dyDescent="0.25">
      <c r="A61" s="188"/>
      <c r="B61" s="85"/>
      <c r="E61" s="87"/>
      <c r="G61" s="198"/>
      <c r="H61" s="199"/>
      <c r="I61" s="199"/>
      <c r="J61" s="199"/>
      <c r="K61" s="200"/>
    </row>
    <row r="62" spans="1:11" x14ac:dyDescent="0.25">
      <c r="A62" s="86"/>
      <c r="E62" s="87"/>
      <c r="G62" s="198"/>
      <c r="H62" s="199"/>
      <c r="I62" s="199"/>
      <c r="J62" s="199"/>
      <c r="K62" s="200"/>
    </row>
    <row r="63" spans="1:11" x14ac:dyDescent="0.25">
      <c r="A63" s="86"/>
      <c r="E63" s="87"/>
      <c r="G63" s="198"/>
      <c r="H63" s="199"/>
      <c r="I63" s="199"/>
      <c r="J63" s="199"/>
      <c r="K63" s="200"/>
    </row>
    <row r="64" spans="1:11" x14ac:dyDescent="0.25">
      <c r="A64" s="86"/>
      <c r="E64" s="87"/>
      <c r="G64" s="198"/>
      <c r="H64" s="199"/>
      <c r="I64" s="199"/>
      <c r="J64" s="199"/>
      <c r="K64" s="200"/>
    </row>
    <row r="65" spans="1:11" x14ac:dyDescent="0.25">
      <c r="A65" s="86"/>
      <c r="E65" s="87"/>
      <c r="G65" s="198"/>
      <c r="H65" s="199"/>
      <c r="I65" s="199"/>
      <c r="J65" s="199"/>
      <c r="K65" s="200"/>
    </row>
    <row r="66" spans="1:11" x14ac:dyDescent="0.25">
      <c r="A66" s="86"/>
      <c r="E66" s="87"/>
      <c r="G66" s="198"/>
      <c r="H66" s="199"/>
      <c r="I66" s="199"/>
      <c r="J66" s="199"/>
      <c r="K66" s="200"/>
    </row>
    <row r="67" spans="1:11" x14ac:dyDescent="0.25">
      <c r="A67" s="86"/>
      <c r="E67" s="87"/>
      <c r="G67" s="198"/>
      <c r="H67" s="199"/>
      <c r="I67" s="199"/>
      <c r="J67" s="199"/>
      <c r="K67" s="200"/>
    </row>
    <row r="68" spans="1:11" x14ac:dyDescent="0.25">
      <c r="A68" s="86"/>
      <c r="E68" s="87"/>
      <c r="G68" s="198"/>
      <c r="H68" s="199"/>
      <c r="I68" s="199"/>
      <c r="J68" s="199"/>
      <c r="K68" s="200"/>
    </row>
    <row r="69" spans="1:11" x14ac:dyDescent="0.25">
      <c r="A69" s="86"/>
      <c r="E69" s="87"/>
      <c r="G69" s="198"/>
      <c r="H69" s="199"/>
      <c r="I69" s="199"/>
      <c r="J69" s="199"/>
      <c r="K69" s="200"/>
    </row>
    <row r="70" spans="1:11" x14ac:dyDescent="0.25">
      <c r="A70" s="86"/>
      <c r="E70" s="87"/>
      <c r="G70" s="198"/>
      <c r="H70" s="199"/>
      <c r="I70" s="199"/>
      <c r="J70" s="199"/>
      <c r="K70" s="200"/>
    </row>
    <row r="71" spans="1:11" x14ac:dyDescent="0.25">
      <c r="A71" s="86"/>
      <c r="E71" s="87"/>
      <c r="G71" s="198"/>
      <c r="H71" s="199"/>
      <c r="I71" s="199"/>
      <c r="J71" s="199"/>
      <c r="K71" s="200"/>
    </row>
    <row r="72" spans="1:11" x14ac:dyDescent="0.25">
      <c r="A72" s="88"/>
      <c r="B72" s="89"/>
      <c r="C72" s="89"/>
      <c r="D72" s="89"/>
      <c r="E72" s="90"/>
      <c r="G72" s="201"/>
      <c r="H72" s="202"/>
      <c r="I72" s="202"/>
      <c r="J72" s="202"/>
      <c r="K72" s="203"/>
    </row>
  </sheetData>
  <protectedRanges>
    <protectedRange sqref="E4:J7" name="Range1_4"/>
    <protectedRange sqref="D6" name="Range1_4_2_1_1"/>
    <protectedRange sqref="D5" name="Range1_4_2_2"/>
    <protectedRange sqref="D4" name="Range1_4_2_1_1_1_1"/>
  </protectedRanges>
  <mergeCells count="15">
    <mergeCell ref="G59:K72"/>
    <mergeCell ref="G58:K58"/>
    <mergeCell ref="D2:K2"/>
    <mergeCell ref="A8:E8"/>
    <mergeCell ref="A9:E9"/>
    <mergeCell ref="G9:K9"/>
    <mergeCell ref="A10:E24"/>
    <mergeCell ref="G10:K24"/>
    <mergeCell ref="A58:E58"/>
    <mergeCell ref="A43:E43"/>
    <mergeCell ref="G43:K43"/>
    <mergeCell ref="A26:E26"/>
    <mergeCell ref="G26:K26"/>
    <mergeCell ref="A27:E41"/>
    <mergeCell ref="G27:K41"/>
  </mergeCells>
  <conditionalFormatting sqref="D7">
    <cfRule type="cellIs" dxfId="5" priority="2" operator="equal">
      <formula>0</formula>
    </cfRule>
  </conditionalFormatting>
  <conditionalFormatting sqref="G4:I7">
    <cfRule type="cellIs" dxfId="4" priority="1" operator="equal">
      <formula>0</formula>
    </cfRule>
  </conditionalFormatting>
  <pageMargins left="1.5611023622047244" right="0.35433070866141736" top="0.55118110236220474" bottom="0.35433070866141736" header="0.23622047244094491" footer="0.19685039370078741"/>
  <pageSetup scale="78" orientation="portrait" horizontalDpi="4294967292" r:id="rId1"/>
  <rowBreaks count="1" manualBreakCount="1">
    <brk id="42" max="10" man="1"/>
  </row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2479A-A518-409F-A074-B5FA610C8AD9}">
  <sheetPr codeName="Sheet14"/>
  <dimension ref="A2:K57"/>
  <sheetViews>
    <sheetView showWhiteSpace="0" view="pageBreakPreview" topLeftCell="A46" zoomScaleNormal="100" zoomScaleSheetLayoutView="100" zoomScalePageLayoutView="55" workbookViewId="0">
      <selection activeCell="M48" sqref="M48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304" t="s">
        <v>194</v>
      </c>
      <c r="E2" s="304"/>
      <c r="F2" s="304"/>
      <c r="G2" s="304"/>
      <c r="H2" s="304"/>
      <c r="I2" s="304"/>
      <c r="J2" s="304"/>
      <c r="K2" s="304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SKOM!D4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SKOM!D5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>
        <f>SKOM!D6</f>
        <v>0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9" spans="1:11" x14ac:dyDescent="0.25">
      <c r="A9" s="194" t="s">
        <v>211</v>
      </c>
      <c r="B9" s="194"/>
      <c r="C9" s="194"/>
      <c r="D9" s="194"/>
      <c r="E9" s="194"/>
      <c r="G9" s="194" t="s">
        <v>142</v>
      </c>
      <c r="H9" s="194"/>
      <c r="I9" s="194"/>
      <c r="J9" s="194"/>
      <c r="K9" s="194"/>
    </row>
    <row r="10" spans="1:11" x14ac:dyDescent="0.25">
      <c r="A10" s="195"/>
      <c r="B10" s="196"/>
      <c r="C10" s="196"/>
      <c r="D10" s="196"/>
      <c r="E10" s="197"/>
      <c r="G10" s="195"/>
      <c r="H10" s="196"/>
      <c r="I10" s="196"/>
      <c r="J10" s="196"/>
      <c r="K10" s="197"/>
    </row>
    <row r="11" spans="1:11" x14ac:dyDescent="0.25">
      <c r="A11" s="198"/>
      <c r="B11" s="199"/>
      <c r="C11" s="199"/>
      <c r="D11" s="199"/>
      <c r="E11" s="200"/>
      <c r="G11" s="198"/>
      <c r="H11" s="199"/>
      <c r="I11" s="199"/>
      <c r="J11" s="199"/>
      <c r="K11" s="200"/>
    </row>
    <row r="12" spans="1:11" x14ac:dyDescent="0.25">
      <c r="A12" s="198"/>
      <c r="B12" s="199"/>
      <c r="C12" s="199"/>
      <c r="D12" s="199"/>
      <c r="E12" s="200"/>
      <c r="G12" s="198"/>
      <c r="H12" s="199"/>
      <c r="I12" s="199"/>
      <c r="J12" s="199"/>
      <c r="K12" s="200"/>
    </row>
    <row r="13" spans="1:11" x14ac:dyDescent="0.25">
      <c r="A13" s="198"/>
      <c r="B13" s="199"/>
      <c r="C13" s="199"/>
      <c r="D13" s="199"/>
      <c r="E13" s="200"/>
      <c r="G13" s="198"/>
      <c r="H13" s="199"/>
      <c r="I13" s="199"/>
      <c r="J13" s="199"/>
      <c r="K13" s="200"/>
    </row>
    <row r="14" spans="1:11" x14ac:dyDescent="0.25">
      <c r="A14" s="198"/>
      <c r="B14" s="199"/>
      <c r="C14" s="199"/>
      <c r="D14" s="199"/>
      <c r="E14" s="200"/>
      <c r="G14" s="198"/>
      <c r="H14" s="199"/>
      <c r="I14" s="199"/>
      <c r="J14" s="199"/>
      <c r="K14" s="200"/>
    </row>
    <row r="15" spans="1:11" x14ac:dyDescent="0.25">
      <c r="A15" s="198"/>
      <c r="B15" s="199"/>
      <c r="C15" s="199"/>
      <c r="D15" s="199"/>
      <c r="E15" s="200"/>
      <c r="G15" s="198"/>
      <c r="H15" s="199"/>
      <c r="I15" s="199"/>
      <c r="J15" s="199"/>
      <c r="K15" s="200"/>
    </row>
    <row r="16" spans="1:11" x14ac:dyDescent="0.25">
      <c r="A16" s="198"/>
      <c r="B16" s="199"/>
      <c r="C16" s="199"/>
      <c r="D16" s="199"/>
      <c r="E16" s="200"/>
      <c r="G16" s="198"/>
      <c r="H16" s="199"/>
      <c r="I16" s="199"/>
      <c r="J16" s="199"/>
      <c r="K16" s="200"/>
    </row>
    <row r="17" spans="1:11" x14ac:dyDescent="0.25">
      <c r="A17" s="198"/>
      <c r="B17" s="199"/>
      <c r="C17" s="199"/>
      <c r="D17" s="199"/>
      <c r="E17" s="200"/>
      <c r="G17" s="198"/>
      <c r="H17" s="199"/>
      <c r="I17" s="199"/>
      <c r="J17" s="199"/>
      <c r="K17" s="200"/>
    </row>
    <row r="18" spans="1:11" x14ac:dyDescent="0.25">
      <c r="A18" s="198"/>
      <c r="B18" s="199"/>
      <c r="C18" s="199"/>
      <c r="D18" s="199"/>
      <c r="E18" s="200"/>
      <c r="G18" s="198"/>
      <c r="H18" s="199"/>
      <c r="I18" s="199"/>
      <c r="J18" s="199"/>
      <c r="K18" s="200"/>
    </row>
    <row r="19" spans="1:11" x14ac:dyDescent="0.25">
      <c r="A19" s="198"/>
      <c r="B19" s="199"/>
      <c r="C19" s="199"/>
      <c r="D19" s="199"/>
      <c r="E19" s="200"/>
      <c r="G19" s="198"/>
      <c r="H19" s="199"/>
      <c r="I19" s="199"/>
      <c r="J19" s="199"/>
      <c r="K19" s="200"/>
    </row>
    <row r="20" spans="1:11" x14ac:dyDescent="0.25">
      <c r="A20" s="198"/>
      <c r="B20" s="199"/>
      <c r="C20" s="199"/>
      <c r="D20" s="199"/>
      <c r="E20" s="200"/>
      <c r="G20" s="198"/>
      <c r="H20" s="199"/>
      <c r="I20" s="199"/>
      <c r="J20" s="199"/>
      <c r="K20" s="200"/>
    </row>
    <row r="21" spans="1:11" x14ac:dyDescent="0.25">
      <c r="A21" s="198"/>
      <c r="B21" s="199"/>
      <c r="C21" s="199"/>
      <c r="D21" s="199"/>
      <c r="E21" s="200"/>
      <c r="G21" s="198"/>
      <c r="H21" s="199"/>
      <c r="I21" s="199"/>
      <c r="J21" s="199"/>
      <c r="K21" s="200"/>
    </row>
    <row r="22" spans="1:11" x14ac:dyDescent="0.25">
      <c r="A22" s="198"/>
      <c r="B22" s="199"/>
      <c r="C22" s="199"/>
      <c r="D22" s="199"/>
      <c r="E22" s="200"/>
      <c r="G22" s="198"/>
      <c r="H22" s="199"/>
      <c r="I22" s="199"/>
      <c r="J22" s="199"/>
      <c r="K22" s="200"/>
    </row>
    <row r="23" spans="1:11" x14ac:dyDescent="0.25">
      <c r="A23" s="198"/>
      <c r="B23" s="199"/>
      <c r="C23" s="199"/>
      <c r="D23" s="199"/>
      <c r="E23" s="200"/>
      <c r="G23" s="198"/>
      <c r="H23" s="199"/>
      <c r="I23" s="199"/>
      <c r="J23" s="199"/>
      <c r="K23" s="200"/>
    </row>
    <row r="24" spans="1:11" x14ac:dyDescent="0.25">
      <c r="A24" s="201"/>
      <c r="B24" s="202"/>
      <c r="C24" s="202"/>
      <c r="D24" s="202"/>
      <c r="E24" s="203"/>
      <c r="G24" s="201"/>
      <c r="H24" s="202"/>
      <c r="I24" s="202"/>
      <c r="J24" s="202"/>
      <c r="K24" s="203"/>
    </row>
    <row r="26" spans="1:11" x14ac:dyDescent="0.25">
      <c r="A26" s="314" t="s">
        <v>142</v>
      </c>
      <c r="B26" s="314"/>
      <c r="C26" s="314"/>
      <c r="D26" s="314"/>
      <c r="E26" s="314"/>
      <c r="G26" s="314" t="s">
        <v>212</v>
      </c>
      <c r="H26" s="314"/>
      <c r="I26" s="314"/>
      <c r="J26" s="314"/>
      <c r="K26" s="314"/>
    </row>
    <row r="27" spans="1:11" x14ac:dyDescent="0.25">
      <c r="A27" s="195"/>
      <c r="B27" s="196"/>
      <c r="C27" s="196"/>
      <c r="D27" s="196"/>
      <c r="E27" s="197"/>
      <c r="G27" s="195"/>
      <c r="H27" s="196"/>
      <c r="I27" s="196"/>
      <c r="J27" s="196"/>
      <c r="K27" s="197"/>
    </row>
    <row r="28" spans="1:11" x14ac:dyDescent="0.25">
      <c r="A28" s="198"/>
      <c r="B28" s="199"/>
      <c r="C28" s="199"/>
      <c r="D28" s="199"/>
      <c r="E28" s="200"/>
      <c r="G28" s="198"/>
      <c r="H28" s="199"/>
      <c r="I28" s="199"/>
      <c r="J28" s="199"/>
      <c r="K28" s="200"/>
    </row>
    <row r="29" spans="1:11" x14ac:dyDescent="0.25">
      <c r="A29" s="198"/>
      <c r="B29" s="199"/>
      <c r="C29" s="199"/>
      <c r="D29" s="199"/>
      <c r="E29" s="200"/>
      <c r="G29" s="198"/>
      <c r="H29" s="199"/>
      <c r="I29" s="199"/>
      <c r="J29" s="199"/>
      <c r="K29" s="200"/>
    </row>
    <row r="30" spans="1:11" x14ac:dyDescent="0.25">
      <c r="A30" s="198"/>
      <c r="B30" s="199"/>
      <c r="C30" s="199"/>
      <c r="D30" s="199"/>
      <c r="E30" s="200"/>
      <c r="G30" s="198"/>
      <c r="H30" s="199"/>
      <c r="I30" s="199"/>
      <c r="J30" s="199"/>
      <c r="K30" s="200"/>
    </row>
    <row r="31" spans="1:11" x14ac:dyDescent="0.25">
      <c r="A31" s="198"/>
      <c r="B31" s="199"/>
      <c r="C31" s="199"/>
      <c r="D31" s="199"/>
      <c r="E31" s="200"/>
      <c r="G31" s="198"/>
      <c r="H31" s="199"/>
      <c r="I31" s="199"/>
      <c r="J31" s="199"/>
      <c r="K31" s="200"/>
    </row>
    <row r="32" spans="1:11" x14ac:dyDescent="0.25">
      <c r="A32" s="198"/>
      <c r="B32" s="199"/>
      <c r="C32" s="199"/>
      <c r="D32" s="199"/>
      <c r="E32" s="200"/>
      <c r="G32" s="198"/>
      <c r="H32" s="199"/>
      <c r="I32" s="199"/>
      <c r="J32" s="199"/>
      <c r="K32" s="200"/>
    </row>
    <row r="33" spans="1:11" x14ac:dyDescent="0.25">
      <c r="A33" s="198"/>
      <c r="B33" s="199"/>
      <c r="C33" s="199"/>
      <c r="D33" s="199"/>
      <c r="E33" s="200"/>
      <c r="G33" s="198"/>
      <c r="H33" s="199"/>
      <c r="I33" s="199"/>
      <c r="J33" s="199"/>
      <c r="K33" s="200"/>
    </row>
    <row r="34" spans="1:11" x14ac:dyDescent="0.25">
      <c r="A34" s="198"/>
      <c r="B34" s="199"/>
      <c r="C34" s="199"/>
      <c r="D34" s="199"/>
      <c r="E34" s="200"/>
      <c r="G34" s="198"/>
      <c r="H34" s="199"/>
      <c r="I34" s="199"/>
      <c r="J34" s="199"/>
      <c r="K34" s="200"/>
    </row>
    <row r="35" spans="1:11" x14ac:dyDescent="0.25">
      <c r="A35" s="198"/>
      <c r="B35" s="199"/>
      <c r="C35" s="199"/>
      <c r="D35" s="199"/>
      <c r="E35" s="200"/>
      <c r="G35" s="198"/>
      <c r="H35" s="199"/>
      <c r="I35" s="199"/>
      <c r="J35" s="199"/>
      <c r="K35" s="200"/>
    </row>
    <row r="36" spans="1:11" x14ac:dyDescent="0.25">
      <c r="A36" s="198"/>
      <c r="B36" s="199"/>
      <c r="C36" s="199"/>
      <c r="D36" s="199"/>
      <c r="E36" s="200"/>
      <c r="G36" s="198"/>
      <c r="H36" s="199"/>
      <c r="I36" s="199"/>
      <c r="J36" s="199"/>
      <c r="K36" s="200"/>
    </row>
    <row r="37" spans="1:11" x14ac:dyDescent="0.25">
      <c r="A37" s="198"/>
      <c r="B37" s="199"/>
      <c r="C37" s="199"/>
      <c r="D37" s="199"/>
      <c r="E37" s="200"/>
      <c r="G37" s="198"/>
      <c r="H37" s="199"/>
      <c r="I37" s="199"/>
      <c r="J37" s="199"/>
      <c r="K37" s="200"/>
    </row>
    <row r="38" spans="1:11" x14ac:dyDescent="0.25">
      <c r="A38" s="198"/>
      <c r="B38" s="199"/>
      <c r="C38" s="199"/>
      <c r="D38" s="199"/>
      <c r="E38" s="200"/>
      <c r="G38" s="198"/>
      <c r="H38" s="199"/>
      <c r="I38" s="199"/>
      <c r="J38" s="199"/>
      <c r="K38" s="200"/>
    </row>
    <row r="39" spans="1:11" x14ac:dyDescent="0.25">
      <c r="A39" s="198"/>
      <c r="B39" s="199"/>
      <c r="C39" s="199"/>
      <c r="D39" s="199"/>
      <c r="E39" s="200"/>
      <c r="G39" s="198"/>
      <c r="H39" s="199"/>
      <c r="I39" s="199"/>
      <c r="J39" s="199"/>
      <c r="K39" s="200"/>
    </row>
    <row r="40" spans="1:11" x14ac:dyDescent="0.25">
      <c r="A40" s="201"/>
      <c r="B40" s="202"/>
      <c r="C40" s="202"/>
      <c r="D40" s="202"/>
      <c r="E40" s="203"/>
      <c r="G40" s="201"/>
      <c r="H40" s="202"/>
      <c r="I40" s="202"/>
      <c r="J40" s="202"/>
      <c r="K40" s="203"/>
    </row>
    <row r="42" spans="1:11" x14ac:dyDescent="0.25">
      <c r="A42" s="314" t="s">
        <v>212</v>
      </c>
      <c r="B42" s="314"/>
      <c r="C42" s="314"/>
      <c r="D42" s="314"/>
      <c r="E42" s="314"/>
      <c r="G42" s="314" t="s">
        <v>212</v>
      </c>
      <c r="H42" s="314"/>
      <c r="I42" s="314"/>
      <c r="J42" s="314"/>
      <c r="K42" s="314"/>
    </row>
    <row r="43" spans="1:11" x14ac:dyDescent="0.25">
      <c r="A43" s="195"/>
      <c r="B43" s="196"/>
      <c r="C43" s="196"/>
      <c r="D43" s="196"/>
      <c r="E43" s="197"/>
      <c r="G43" s="195"/>
      <c r="H43" s="196"/>
      <c r="I43" s="196"/>
      <c r="J43" s="196"/>
      <c r="K43" s="197"/>
    </row>
    <row r="44" spans="1:11" x14ac:dyDescent="0.25">
      <c r="A44" s="198"/>
      <c r="B44" s="199"/>
      <c r="C44" s="199"/>
      <c r="D44" s="199"/>
      <c r="E44" s="200"/>
      <c r="G44" s="198"/>
      <c r="H44" s="199"/>
      <c r="I44" s="199"/>
      <c r="J44" s="199"/>
      <c r="K44" s="200"/>
    </row>
    <row r="45" spans="1:11" x14ac:dyDescent="0.25">
      <c r="A45" s="198"/>
      <c r="B45" s="199"/>
      <c r="C45" s="199"/>
      <c r="D45" s="199"/>
      <c r="E45" s="200"/>
      <c r="G45" s="198"/>
      <c r="H45" s="199"/>
      <c r="I45" s="199"/>
      <c r="J45" s="199"/>
      <c r="K45" s="200"/>
    </row>
    <row r="46" spans="1:11" x14ac:dyDescent="0.25">
      <c r="A46" s="198"/>
      <c r="B46" s="199"/>
      <c r="C46" s="199"/>
      <c r="D46" s="199"/>
      <c r="E46" s="200"/>
      <c r="G46" s="198"/>
      <c r="H46" s="199"/>
      <c r="I46" s="199"/>
      <c r="J46" s="199"/>
      <c r="K46" s="200"/>
    </row>
    <row r="47" spans="1:11" x14ac:dyDescent="0.25">
      <c r="A47" s="198"/>
      <c r="B47" s="199"/>
      <c r="C47" s="199"/>
      <c r="D47" s="199"/>
      <c r="E47" s="200"/>
      <c r="G47" s="198"/>
      <c r="H47" s="199"/>
      <c r="I47" s="199"/>
      <c r="J47" s="199"/>
      <c r="K47" s="200"/>
    </row>
    <row r="48" spans="1:11" x14ac:dyDescent="0.25">
      <c r="A48" s="198"/>
      <c r="B48" s="199"/>
      <c r="C48" s="199"/>
      <c r="D48" s="199"/>
      <c r="E48" s="200"/>
      <c r="G48" s="198"/>
      <c r="H48" s="199"/>
      <c r="I48" s="199"/>
      <c r="J48" s="199"/>
      <c r="K48" s="200"/>
    </row>
    <row r="49" spans="1:11" x14ac:dyDescent="0.25">
      <c r="A49" s="198"/>
      <c r="B49" s="199"/>
      <c r="C49" s="199"/>
      <c r="D49" s="199"/>
      <c r="E49" s="200"/>
      <c r="G49" s="198"/>
      <c r="H49" s="199"/>
      <c r="I49" s="199"/>
      <c r="J49" s="199"/>
      <c r="K49" s="200"/>
    </row>
    <row r="50" spans="1:11" x14ac:dyDescent="0.25">
      <c r="A50" s="198"/>
      <c r="B50" s="199"/>
      <c r="C50" s="199"/>
      <c r="D50" s="199"/>
      <c r="E50" s="200"/>
      <c r="G50" s="198"/>
      <c r="H50" s="199"/>
      <c r="I50" s="199"/>
      <c r="J50" s="199"/>
      <c r="K50" s="200"/>
    </row>
    <row r="51" spans="1:11" x14ac:dyDescent="0.25">
      <c r="A51" s="198"/>
      <c r="B51" s="199"/>
      <c r="C51" s="199"/>
      <c r="D51" s="199"/>
      <c r="E51" s="200"/>
      <c r="G51" s="198"/>
      <c r="H51" s="199"/>
      <c r="I51" s="199"/>
      <c r="J51" s="199"/>
      <c r="K51" s="200"/>
    </row>
    <row r="52" spans="1:11" x14ac:dyDescent="0.25">
      <c r="A52" s="198"/>
      <c r="B52" s="199"/>
      <c r="C52" s="199"/>
      <c r="D52" s="199"/>
      <c r="E52" s="200"/>
      <c r="G52" s="198"/>
      <c r="H52" s="199"/>
      <c r="I52" s="199"/>
      <c r="J52" s="199"/>
      <c r="K52" s="200"/>
    </row>
    <row r="53" spans="1:11" x14ac:dyDescent="0.25">
      <c r="A53" s="198"/>
      <c r="B53" s="199"/>
      <c r="C53" s="199"/>
      <c r="D53" s="199"/>
      <c r="E53" s="200"/>
      <c r="G53" s="198"/>
      <c r="H53" s="199"/>
      <c r="I53" s="199"/>
      <c r="J53" s="199"/>
      <c r="K53" s="200"/>
    </row>
    <row r="54" spans="1:11" x14ac:dyDescent="0.25">
      <c r="A54" s="198"/>
      <c r="B54" s="199"/>
      <c r="C54" s="199"/>
      <c r="D54" s="199"/>
      <c r="E54" s="200"/>
      <c r="G54" s="198"/>
      <c r="H54" s="199"/>
      <c r="I54" s="199"/>
      <c r="J54" s="199"/>
      <c r="K54" s="200"/>
    </row>
    <row r="55" spans="1:11" x14ac:dyDescent="0.25">
      <c r="A55" s="198"/>
      <c r="B55" s="199"/>
      <c r="C55" s="199"/>
      <c r="D55" s="199"/>
      <c r="E55" s="200"/>
      <c r="G55" s="198"/>
      <c r="H55" s="199"/>
      <c r="I55" s="199"/>
      <c r="J55" s="199"/>
      <c r="K55" s="200"/>
    </row>
    <row r="56" spans="1:11" x14ac:dyDescent="0.25">
      <c r="A56" s="198"/>
      <c r="B56" s="199"/>
      <c r="C56" s="199"/>
      <c r="D56" s="199"/>
      <c r="E56" s="200"/>
      <c r="G56" s="198"/>
      <c r="H56" s="199"/>
      <c r="I56" s="199"/>
      <c r="J56" s="199"/>
      <c r="K56" s="200"/>
    </row>
    <row r="57" spans="1:11" x14ac:dyDescent="0.25">
      <c r="A57" s="201"/>
      <c r="B57" s="202"/>
      <c r="C57" s="202"/>
      <c r="D57" s="202"/>
      <c r="E57" s="203"/>
      <c r="G57" s="201"/>
      <c r="H57" s="202"/>
      <c r="I57" s="202"/>
      <c r="J57" s="202"/>
      <c r="K57" s="203"/>
    </row>
  </sheetData>
  <protectedRanges>
    <protectedRange sqref="E4:J7" name="Range1_4"/>
    <protectedRange sqref="D6" name="Range1_4_2_1_2"/>
    <protectedRange sqref="D5" name="Range1_4_2_2"/>
    <protectedRange sqref="D4" name="Range1_4_2_1_1_1"/>
  </protectedRanges>
  <mergeCells count="14">
    <mergeCell ref="A43:E57"/>
    <mergeCell ref="G43:K57"/>
    <mergeCell ref="A26:E26"/>
    <mergeCell ref="G26:K26"/>
    <mergeCell ref="A27:E40"/>
    <mergeCell ref="G27:K40"/>
    <mergeCell ref="A42:E42"/>
    <mergeCell ref="G42:K42"/>
    <mergeCell ref="D2:K2"/>
    <mergeCell ref="A8:E8"/>
    <mergeCell ref="A9:E9"/>
    <mergeCell ref="G9:K9"/>
    <mergeCell ref="A10:E24"/>
    <mergeCell ref="G10:K24"/>
  </mergeCells>
  <conditionalFormatting sqref="D7">
    <cfRule type="cellIs" dxfId="3" priority="2" operator="equal">
      <formula>0</formula>
    </cfRule>
  </conditionalFormatting>
  <conditionalFormatting sqref="G4:I7">
    <cfRule type="cellIs" dxfId="2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4294967292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3D7C7-D3C7-4384-BE7B-5B649C9F9F8A}">
  <sheetPr>
    <tabColor theme="9" tint="-0.249977111117893"/>
  </sheetPr>
  <dimension ref="A1"/>
  <sheetViews>
    <sheetView topLeftCell="A16" workbookViewId="0">
      <selection activeCell="P14" sqref="P14"/>
    </sheetView>
  </sheetViews>
  <sheetFormatPr defaultRowHeight="15" x14ac:dyDescent="0.25"/>
  <sheetData/>
  <pageMargins left="0.7" right="0.7" top="0.75" bottom="0.75" header="0.3" footer="0.3"/>
  <pageSetup paperSize="9"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4B1B0-3AEF-4D31-BE9A-EEB85645AD97}">
  <dimension ref="A2:K217"/>
  <sheetViews>
    <sheetView showWhiteSpace="0" view="pageBreakPreview" zoomScaleNormal="100" zoomScaleSheetLayoutView="100" zoomScalePageLayoutView="55" workbookViewId="0">
      <selection activeCell="Q136" sqref="Q136"/>
    </sheetView>
  </sheetViews>
  <sheetFormatPr defaultRowHeight="15" x14ac:dyDescent="0.25"/>
  <cols>
    <col min="2" max="2" width="14.28515625" customWidth="1"/>
    <col min="3" max="3" width="1.28515625" customWidth="1"/>
    <col min="4" max="4" width="10.5703125" customWidth="1"/>
    <col min="5" max="5" width="10.42578125" customWidth="1"/>
    <col min="7" max="7" width="9.7109375" customWidth="1"/>
    <col min="8" max="8" width="13.42578125" customWidth="1"/>
    <col min="9" max="9" width="1.7109375" customWidth="1"/>
    <col min="10" max="10" width="8.7109375" customWidth="1"/>
    <col min="11" max="11" width="11.28515625" customWidth="1"/>
  </cols>
  <sheetData>
    <row r="2" spans="1:11" ht="23.25" x14ac:dyDescent="0.35">
      <c r="B2" s="81"/>
      <c r="C2" s="81"/>
      <c r="D2" s="304" t="s">
        <v>209</v>
      </c>
      <c r="E2" s="304"/>
      <c r="F2" s="304"/>
      <c r="G2" s="304"/>
      <c r="H2" s="304"/>
      <c r="I2" s="304"/>
      <c r="J2" s="304"/>
    </row>
    <row r="3" spans="1:11" ht="26.25" x14ac:dyDescent="0.4">
      <c r="A3" s="79"/>
      <c r="B3" s="79"/>
      <c r="C3" s="79"/>
      <c r="D3" s="79"/>
      <c r="E3" s="79"/>
      <c r="F3" s="79"/>
      <c r="G3" s="79"/>
      <c r="H3" s="79"/>
      <c r="I3" s="79"/>
      <c r="J3" s="79"/>
    </row>
    <row r="4" spans="1:11" ht="15.75" x14ac:dyDescent="0.25">
      <c r="A4" s="82" t="s">
        <v>87</v>
      </c>
      <c r="B4" s="54"/>
      <c r="C4" s="54" t="s">
        <v>65</v>
      </c>
      <c r="D4" s="83">
        <f>SKOM!D4</f>
        <v>0</v>
      </c>
      <c r="E4" s="77"/>
      <c r="F4" s="77"/>
      <c r="G4" s="55"/>
      <c r="H4" s="55"/>
      <c r="I4" s="55"/>
    </row>
    <row r="5" spans="1:11" ht="15.75" x14ac:dyDescent="0.25">
      <c r="A5" s="82" t="s">
        <v>88</v>
      </c>
      <c r="B5" s="54"/>
      <c r="C5" s="54" t="s">
        <v>65</v>
      </c>
      <c r="D5" s="77">
        <f>SKOM!D5</f>
        <v>0</v>
      </c>
      <c r="E5" s="78"/>
      <c r="F5" s="78"/>
      <c r="G5" s="56"/>
      <c r="H5" s="56"/>
      <c r="I5" s="56"/>
    </row>
    <row r="6" spans="1:11" ht="15.75" x14ac:dyDescent="0.25">
      <c r="A6" s="82" t="s">
        <v>141</v>
      </c>
      <c r="B6" s="54"/>
      <c r="C6" s="54" t="s">
        <v>65</v>
      </c>
      <c r="D6" s="77">
        <f>SKOM!D6</f>
        <v>0</v>
      </c>
      <c r="E6" s="78"/>
      <c r="F6" s="78"/>
      <c r="G6" s="56"/>
      <c r="H6" s="56"/>
      <c r="I6" s="56"/>
    </row>
    <row r="7" spans="1:11" ht="15.75" x14ac:dyDescent="0.25">
      <c r="A7" s="54"/>
      <c r="B7" s="54"/>
      <c r="C7" s="54"/>
      <c r="D7" s="80"/>
      <c r="E7" s="80"/>
      <c r="F7" s="80"/>
      <c r="G7" s="54"/>
      <c r="H7" s="54"/>
      <c r="I7" s="54"/>
    </row>
    <row r="8" spans="1:11" x14ac:dyDescent="0.25">
      <c r="A8" s="199"/>
      <c r="B8" s="199"/>
      <c r="C8" s="199"/>
      <c r="D8" s="199"/>
      <c r="E8" s="199"/>
    </row>
    <row r="10" spans="1:11" x14ac:dyDescent="0.25">
      <c r="A10" s="315" t="s">
        <v>213</v>
      </c>
      <c r="B10" s="315"/>
      <c r="C10" s="315"/>
      <c r="D10" s="315"/>
      <c r="E10" s="315"/>
      <c r="G10" s="315" t="s">
        <v>198</v>
      </c>
      <c r="H10" s="315"/>
      <c r="I10" s="315"/>
      <c r="J10" s="315"/>
      <c r="K10" s="315"/>
    </row>
    <row r="11" spans="1:11" x14ac:dyDescent="0.25">
      <c r="A11" s="314" t="s">
        <v>143</v>
      </c>
      <c r="B11" s="314"/>
      <c r="C11" s="314"/>
      <c r="D11" s="314"/>
      <c r="E11" s="314"/>
      <c r="G11" s="314"/>
      <c r="H11" s="314"/>
      <c r="I11" s="314"/>
      <c r="J11" s="314"/>
      <c r="K11" s="314"/>
    </row>
    <row r="12" spans="1:11" x14ac:dyDescent="0.25">
      <c r="A12" s="314"/>
      <c r="B12" s="314"/>
      <c r="C12" s="314"/>
      <c r="D12" s="314"/>
      <c r="E12" s="314"/>
      <c r="G12" s="314"/>
      <c r="H12" s="314"/>
      <c r="I12" s="314"/>
      <c r="J12" s="314"/>
      <c r="K12" s="314"/>
    </row>
    <row r="13" spans="1:11" x14ac:dyDescent="0.25">
      <c r="A13" s="314"/>
      <c r="B13" s="314"/>
      <c r="C13" s="314"/>
      <c r="D13" s="314"/>
      <c r="E13" s="314"/>
      <c r="G13" s="314"/>
      <c r="H13" s="314"/>
      <c r="I13" s="314"/>
      <c r="J13" s="314"/>
      <c r="K13" s="314"/>
    </row>
    <row r="14" spans="1:11" x14ac:dyDescent="0.25">
      <c r="A14" s="314"/>
      <c r="B14" s="314"/>
      <c r="C14" s="314"/>
      <c r="D14" s="314"/>
      <c r="E14" s="314"/>
      <c r="G14" s="314"/>
      <c r="H14" s="314"/>
      <c r="I14" s="314"/>
      <c r="J14" s="314"/>
      <c r="K14" s="314"/>
    </row>
    <row r="15" spans="1:11" x14ac:dyDescent="0.25">
      <c r="A15" s="314"/>
      <c r="B15" s="314"/>
      <c r="C15" s="314"/>
      <c r="D15" s="314"/>
      <c r="E15" s="314"/>
      <c r="G15" s="314"/>
      <c r="H15" s="314"/>
      <c r="I15" s="314"/>
      <c r="J15" s="314"/>
      <c r="K15" s="314"/>
    </row>
    <row r="16" spans="1:11" x14ac:dyDescent="0.25">
      <c r="A16" s="314"/>
      <c r="B16" s="314"/>
      <c r="C16" s="314"/>
      <c r="D16" s="314"/>
      <c r="E16" s="314"/>
      <c r="G16" s="314"/>
      <c r="H16" s="314"/>
      <c r="I16" s="314"/>
      <c r="J16" s="314"/>
      <c r="K16" s="314"/>
    </row>
    <row r="17" spans="1:11" x14ac:dyDescent="0.25">
      <c r="A17" s="314"/>
      <c r="B17" s="314"/>
      <c r="C17" s="314"/>
      <c r="D17" s="314"/>
      <c r="E17" s="314"/>
      <c r="G17" s="314"/>
      <c r="H17" s="314"/>
      <c r="I17" s="314"/>
      <c r="J17" s="314"/>
      <c r="K17" s="314"/>
    </row>
    <row r="18" spans="1:11" x14ac:dyDescent="0.25">
      <c r="A18" s="314"/>
      <c r="B18" s="314"/>
      <c r="C18" s="314"/>
      <c r="D18" s="314"/>
      <c r="E18" s="314"/>
      <c r="G18" s="314"/>
      <c r="H18" s="314"/>
      <c r="I18" s="314"/>
      <c r="J18" s="314"/>
      <c r="K18" s="314"/>
    </row>
    <row r="19" spans="1:11" x14ac:dyDescent="0.25">
      <c r="A19" s="314"/>
      <c r="B19" s="314"/>
      <c r="C19" s="314"/>
      <c r="D19" s="314"/>
      <c r="E19" s="314"/>
      <c r="G19" s="314"/>
      <c r="H19" s="314"/>
      <c r="I19" s="314"/>
      <c r="J19" s="314"/>
      <c r="K19" s="314"/>
    </row>
    <row r="20" spans="1:11" x14ac:dyDescent="0.25">
      <c r="A20" s="314"/>
      <c r="B20" s="314"/>
      <c r="C20" s="314"/>
      <c r="D20" s="314"/>
      <c r="E20" s="314"/>
      <c r="G20" s="314"/>
      <c r="H20" s="314"/>
      <c r="I20" s="314"/>
      <c r="J20" s="314"/>
      <c r="K20" s="314"/>
    </row>
    <row r="21" spans="1:11" x14ac:dyDescent="0.25">
      <c r="A21" s="314"/>
      <c r="B21" s="314"/>
      <c r="C21" s="314"/>
      <c r="D21" s="314"/>
      <c r="E21" s="314"/>
      <c r="G21" s="314"/>
      <c r="H21" s="314"/>
      <c r="I21" s="314"/>
      <c r="J21" s="314"/>
      <c r="K21" s="314"/>
    </row>
    <row r="22" spans="1:11" x14ac:dyDescent="0.25">
      <c r="A22" s="314"/>
      <c r="B22" s="314"/>
      <c r="C22" s="314"/>
      <c r="D22" s="314"/>
      <c r="E22" s="314"/>
      <c r="G22" s="314"/>
      <c r="H22" s="314"/>
      <c r="I22" s="314"/>
      <c r="J22" s="314"/>
      <c r="K22" s="314"/>
    </row>
    <row r="23" spans="1:11" x14ac:dyDescent="0.25">
      <c r="A23" s="314"/>
      <c r="B23" s="314"/>
      <c r="C23" s="314"/>
      <c r="D23" s="314"/>
      <c r="E23" s="314"/>
      <c r="G23" s="314"/>
      <c r="H23" s="314"/>
      <c r="I23" s="314"/>
      <c r="J23" s="314"/>
      <c r="K23" s="314"/>
    </row>
    <row r="24" spans="1:11" x14ac:dyDescent="0.25">
      <c r="A24" s="314"/>
      <c r="B24" s="314"/>
      <c r="C24" s="314"/>
      <c r="D24" s="314"/>
      <c r="E24" s="314"/>
      <c r="G24" s="314"/>
      <c r="H24" s="314"/>
      <c r="I24" s="314"/>
      <c r="J24" s="314"/>
      <c r="K24" s="314"/>
    </row>
    <row r="25" spans="1:11" x14ac:dyDescent="0.25">
      <c r="A25" s="314"/>
      <c r="B25" s="314"/>
      <c r="C25" s="314"/>
      <c r="D25" s="314"/>
      <c r="E25" s="314"/>
      <c r="G25" s="314"/>
      <c r="H25" s="314"/>
      <c r="I25" s="314"/>
      <c r="J25" s="314"/>
      <c r="K25" s="314"/>
    </row>
    <row r="27" spans="1:11" x14ac:dyDescent="0.25">
      <c r="A27" s="315" t="s">
        <v>199</v>
      </c>
      <c r="B27" s="315"/>
      <c r="C27" s="315"/>
      <c r="D27" s="315"/>
      <c r="E27" s="315"/>
      <c r="G27" s="315" t="s">
        <v>200</v>
      </c>
      <c r="H27" s="315"/>
      <c r="I27" s="315"/>
      <c r="J27" s="315"/>
      <c r="K27" s="315"/>
    </row>
    <row r="28" spans="1:11" x14ac:dyDescent="0.25">
      <c r="A28" s="314" t="s">
        <v>143</v>
      </c>
      <c r="B28" s="314"/>
      <c r="C28" s="314"/>
      <c r="D28" s="314"/>
      <c r="E28" s="314"/>
      <c r="G28" s="314"/>
      <c r="H28" s="314"/>
      <c r="I28" s="314"/>
      <c r="J28" s="314"/>
      <c r="K28" s="314"/>
    </row>
    <row r="29" spans="1:11" x14ac:dyDescent="0.25">
      <c r="A29" s="314"/>
      <c r="B29" s="314"/>
      <c r="C29" s="314"/>
      <c r="D29" s="314"/>
      <c r="E29" s="314"/>
      <c r="G29" s="314"/>
      <c r="H29" s="314"/>
      <c r="I29" s="314"/>
      <c r="J29" s="314"/>
      <c r="K29" s="314"/>
    </row>
    <row r="30" spans="1:11" x14ac:dyDescent="0.25">
      <c r="A30" s="314"/>
      <c r="B30" s="314"/>
      <c r="C30" s="314"/>
      <c r="D30" s="314"/>
      <c r="E30" s="314"/>
      <c r="G30" s="314"/>
      <c r="H30" s="314"/>
      <c r="I30" s="314"/>
      <c r="J30" s="314"/>
      <c r="K30" s="314"/>
    </row>
    <row r="31" spans="1:11" x14ac:dyDescent="0.25">
      <c r="A31" s="314"/>
      <c r="B31" s="314"/>
      <c r="C31" s="314"/>
      <c r="D31" s="314"/>
      <c r="E31" s="314"/>
      <c r="G31" s="314"/>
      <c r="H31" s="314"/>
      <c r="I31" s="314"/>
      <c r="J31" s="314"/>
      <c r="K31" s="314"/>
    </row>
    <row r="32" spans="1:11" x14ac:dyDescent="0.25">
      <c r="A32" s="314"/>
      <c r="B32" s="314"/>
      <c r="C32" s="314"/>
      <c r="D32" s="314"/>
      <c r="E32" s="314"/>
      <c r="G32" s="314"/>
      <c r="H32" s="314"/>
      <c r="I32" s="314"/>
      <c r="J32" s="314"/>
      <c r="K32" s="314"/>
    </row>
    <row r="33" spans="1:11" x14ac:dyDescent="0.25">
      <c r="A33" s="314"/>
      <c r="B33" s="314"/>
      <c r="C33" s="314"/>
      <c r="D33" s="314"/>
      <c r="E33" s="314"/>
      <c r="G33" s="314"/>
      <c r="H33" s="314"/>
      <c r="I33" s="314"/>
      <c r="J33" s="314"/>
      <c r="K33" s="314"/>
    </row>
    <row r="34" spans="1:11" x14ac:dyDescent="0.25">
      <c r="A34" s="314"/>
      <c r="B34" s="314"/>
      <c r="C34" s="314"/>
      <c r="D34" s="314"/>
      <c r="E34" s="314"/>
      <c r="G34" s="314"/>
      <c r="H34" s="314"/>
      <c r="I34" s="314"/>
      <c r="J34" s="314"/>
      <c r="K34" s="314"/>
    </row>
    <row r="35" spans="1:11" x14ac:dyDescent="0.25">
      <c r="A35" s="314"/>
      <c r="B35" s="314"/>
      <c r="C35" s="314"/>
      <c r="D35" s="314"/>
      <c r="E35" s="314"/>
      <c r="G35" s="314"/>
      <c r="H35" s="314"/>
      <c r="I35" s="314"/>
      <c r="J35" s="314"/>
      <c r="K35" s="314"/>
    </row>
    <row r="36" spans="1:11" x14ac:dyDescent="0.25">
      <c r="A36" s="314"/>
      <c r="B36" s="314"/>
      <c r="C36" s="314"/>
      <c r="D36" s="314"/>
      <c r="E36" s="314"/>
      <c r="G36" s="314"/>
      <c r="H36" s="314"/>
      <c r="I36" s="314"/>
      <c r="J36" s="314"/>
      <c r="K36" s="314"/>
    </row>
    <row r="37" spans="1:11" x14ac:dyDescent="0.25">
      <c r="A37" s="314"/>
      <c r="B37" s="314"/>
      <c r="C37" s="314"/>
      <c r="D37" s="314"/>
      <c r="E37" s="314"/>
      <c r="G37" s="314"/>
      <c r="H37" s="314"/>
      <c r="I37" s="314"/>
      <c r="J37" s="314"/>
      <c r="K37" s="314"/>
    </row>
    <row r="38" spans="1:11" x14ac:dyDescent="0.25">
      <c r="A38" s="314"/>
      <c r="B38" s="314"/>
      <c r="C38" s="314"/>
      <c r="D38" s="314"/>
      <c r="E38" s="314"/>
      <c r="G38" s="314"/>
      <c r="H38" s="314"/>
      <c r="I38" s="314"/>
      <c r="J38" s="314"/>
      <c r="K38" s="314"/>
    </row>
    <row r="39" spans="1:11" x14ac:dyDescent="0.25">
      <c r="A39" s="314"/>
      <c r="B39" s="314"/>
      <c r="C39" s="314"/>
      <c r="D39" s="314"/>
      <c r="E39" s="314"/>
      <c r="G39" s="314"/>
      <c r="H39" s="314"/>
      <c r="I39" s="314"/>
      <c r="J39" s="314"/>
      <c r="K39" s="314"/>
    </row>
    <row r="40" spans="1:11" x14ac:dyDescent="0.25">
      <c r="A40" s="314"/>
      <c r="B40" s="314"/>
      <c r="C40" s="314"/>
      <c r="D40" s="314"/>
      <c r="E40" s="314"/>
      <c r="G40" s="314"/>
      <c r="H40" s="314"/>
      <c r="I40" s="314"/>
      <c r="J40" s="314"/>
      <c r="K40" s="314"/>
    </row>
    <row r="41" spans="1:11" x14ac:dyDescent="0.25">
      <c r="A41" s="314"/>
      <c r="B41" s="314"/>
      <c r="C41" s="314"/>
      <c r="D41" s="314"/>
      <c r="E41" s="314"/>
      <c r="G41" s="314"/>
      <c r="H41" s="314"/>
      <c r="I41" s="314"/>
      <c r="J41" s="314"/>
      <c r="K41" s="314"/>
    </row>
    <row r="42" spans="1:11" x14ac:dyDescent="0.25">
      <c r="A42" s="314"/>
      <c r="B42" s="314"/>
      <c r="C42" s="314"/>
      <c r="D42" s="314"/>
      <c r="E42" s="314"/>
      <c r="G42" s="314"/>
      <c r="H42" s="314"/>
      <c r="I42" s="314"/>
      <c r="J42" s="314"/>
      <c r="K42" s="314"/>
    </row>
    <row r="43" spans="1:11" x14ac:dyDescent="0.25">
      <c r="A43" s="85"/>
      <c r="B43" s="85"/>
      <c r="C43" s="85"/>
      <c r="D43" s="85"/>
      <c r="E43" s="85"/>
      <c r="G43" s="85"/>
      <c r="H43" s="85"/>
      <c r="I43" s="85"/>
      <c r="J43" s="85"/>
      <c r="K43" s="85"/>
    </row>
    <row r="44" spans="1:11" x14ac:dyDescent="0.25">
      <c r="A44" s="315" t="s">
        <v>201</v>
      </c>
      <c r="B44" s="315"/>
      <c r="C44" s="315"/>
      <c r="D44" s="315"/>
      <c r="E44" s="315"/>
      <c r="G44" s="315" t="s">
        <v>201</v>
      </c>
      <c r="H44" s="315"/>
      <c r="I44" s="315"/>
      <c r="J44" s="315"/>
      <c r="K44" s="315"/>
    </row>
    <row r="45" spans="1:11" x14ac:dyDescent="0.25">
      <c r="A45" s="314"/>
      <c r="B45" s="314"/>
      <c r="C45" s="314"/>
      <c r="D45" s="314"/>
      <c r="E45" s="314"/>
      <c r="G45" s="314"/>
      <c r="H45" s="314"/>
      <c r="I45" s="314"/>
      <c r="J45" s="314"/>
      <c r="K45" s="314"/>
    </row>
    <row r="46" spans="1:11" x14ac:dyDescent="0.25">
      <c r="A46" s="314"/>
      <c r="B46" s="314"/>
      <c r="C46" s="314"/>
      <c r="D46" s="314"/>
      <c r="E46" s="314"/>
      <c r="G46" s="314"/>
      <c r="H46" s="314"/>
      <c r="I46" s="314"/>
      <c r="J46" s="314"/>
      <c r="K46" s="314"/>
    </row>
    <row r="47" spans="1:11" x14ac:dyDescent="0.25">
      <c r="A47" s="314"/>
      <c r="B47" s="314"/>
      <c r="C47" s="314"/>
      <c r="D47" s="314"/>
      <c r="E47" s="314"/>
      <c r="G47" s="314"/>
      <c r="H47" s="314"/>
      <c r="I47" s="314"/>
      <c r="J47" s="314"/>
      <c r="K47" s="314"/>
    </row>
    <row r="48" spans="1:11" x14ac:dyDescent="0.25">
      <c r="A48" s="314"/>
      <c r="B48" s="314"/>
      <c r="C48" s="314"/>
      <c r="D48" s="314"/>
      <c r="E48" s="314"/>
      <c r="G48" s="314"/>
      <c r="H48" s="314"/>
      <c r="I48" s="314"/>
      <c r="J48" s="314"/>
      <c r="K48" s="314"/>
    </row>
    <row r="49" spans="1:11" x14ac:dyDescent="0.25">
      <c r="A49" s="314"/>
      <c r="B49" s="314"/>
      <c r="C49" s="314"/>
      <c r="D49" s="314"/>
      <c r="E49" s="314"/>
      <c r="G49" s="314"/>
      <c r="H49" s="314"/>
      <c r="I49" s="314"/>
      <c r="J49" s="314"/>
      <c r="K49" s="314"/>
    </row>
    <row r="50" spans="1:11" x14ac:dyDescent="0.25">
      <c r="A50" s="314"/>
      <c r="B50" s="314"/>
      <c r="C50" s="314"/>
      <c r="D50" s="314"/>
      <c r="E50" s="314"/>
      <c r="G50" s="314"/>
      <c r="H50" s="314"/>
      <c r="I50" s="314"/>
      <c r="J50" s="314"/>
      <c r="K50" s="314"/>
    </row>
    <row r="51" spans="1:11" x14ac:dyDescent="0.25">
      <c r="A51" s="314"/>
      <c r="B51" s="314"/>
      <c r="C51" s="314"/>
      <c r="D51" s="314"/>
      <c r="E51" s="314"/>
      <c r="G51" s="314"/>
      <c r="H51" s="314"/>
      <c r="I51" s="314"/>
      <c r="J51" s="314"/>
      <c r="K51" s="314"/>
    </row>
    <row r="52" spans="1:11" x14ac:dyDescent="0.25">
      <c r="A52" s="314"/>
      <c r="B52" s="314"/>
      <c r="C52" s="314"/>
      <c r="D52" s="314"/>
      <c r="E52" s="314"/>
      <c r="G52" s="314"/>
      <c r="H52" s="314"/>
      <c r="I52" s="314"/>
      <c r="J52" s="314"/>
      <c r="K52" s="314"/>
    </row>
    <row r="53" spans="1:11" x14ac:dyDescent="0.25">
      <c r="A53" s="314"/>
      <c r="B53" s="314"/>
      <c r="C53" s="314"/>
      <c r="D53" s="314"/>
      <c r="E53" s="314"/>
      <c r="G53" s="314"/>
      <c r="H53" s="314"/>
      <c r="I53" s="314"/>
      <c r="J53" s="314"/>
      <c r="K53" s="314"/>
    </row>
    <row r="54" spans="1:11" x14ac:dyDescent="0.25">
      <c r="A54" s="314"/>
      <c r="B54" s="314"/>
      <c r="C54" s="314"/>
      <c r="D54" s="314"/>
      <c r="E54" s="314"/>
      <c r="G54" s="314"/>
      <c r="H54" s="314"/>
      <c r="I54" s="314"/>
      <c r="J54" s="314"/>
      <c r="K54" s="314"/>
    </row>
    <row r="55" spans="1:11" x14ac:dyDescent="0.25">
      <c r="A55" s="314"/>
      <c r="B55" s="314"/>
      <c r="C55" s="314"/>
      <c r="D55" s="314"/>
      <c r="E55" s="314"/>
      <c r="G55" s="314"/>
      <c r="H55" s="314"/>
      <c r="I55" s="314"/>
      <c r="J55" s="314"/>
      <c r="K55" s="314"/>
    </row>
    <row r="56" spans="1:11" x14ac:dyDescent="0.25">
      <c r="A56" s="314"/>
      <c r="B56" s="314"/>
      <c r="C56" s="314"/>
      <c r="D56" s="314"/>
      <c r="E56" s="314"/>
      <c r="G56" s="314"/>
      <c r="H56" s="314"/>
      <c r="I56" s="314"/>
      <c r="J56" s="314"/>
      <c r="K56" s="314"/>
    </row>
    <row r="57" spans="1:11" x14ac:dyDescent="0.25">
      <c r="A57" s="314"/>
      <c r="B57" s="314"/>
      <c r="C57" s="314"/>
      <c r="D57" s="314"/>
      <c r="E57" s="314"/>
      <c r="G57" s="314"/>
      <c r="H57" s="314"/>
      <c r="I57" s="314"/>
      <c r="J57" s="314"/>
      <c r="K57" s="314"/>
    </row>
    <row r="58" spans="1:11" x14ac:dyDescent="0.25">
      <c r="A58" s="314"/>
      <c r="B58" s="314"/>
      <c r="C58" s="314"/>
      <c r="D58" s="314"/>
      <c r="E58" s="314"/>
      <c r="G58" s="314"/>
      <c r="H58" s="314"/>
      <c r="I58" s="314"/>
      <c r="J58" s="314"/>
      <c r="K58" s="314"/>
    </row>
    <row r="59" spans="1:11" x14ac:dyDescent="0.25">
      <c r="A59" s="314"/>
      <c r="B59" s="314"/>
      <c r="C59" s="314"/>
      <c r="D59" s="314"/>
      <c r="E59" s="314"/>
      <c r="G59" s="314"/>
      <c r="H59" s="314"/>
      <c r="I59" s="314"/>
      <c r="J59" s="314"/>
      <c r="K59" s="314"/>
    </row>
    <row r="63" spans="1:11" x14ac:dyDescent="0.25">
      <c r="A63" s="315" t="s">
        <v>214</v>
      </c>
      <c r="B63" s="315"/>
      <c r="C63" s="315"/>
      <c r="D63" s="315"/>
      <c r="E63" s="315"/>
      <c r="G63" s="315" t="s">
        <v>208</v>
      </c>
      <c r="H63" s="315"/>
      <c r="I63" s="315"/>
      <c r="J63" s="315"/>
      <c r="K63" s="315"/>
    </row>
    <row r="64" spans="1:11" x14ac:dyDescent="0.25">
      <c r="A64" s="314"/>
      <c r="B64" s="314"/>
      <c r="C64" s="314"/>
      <c r="D64" s="314"/>
      <c r="E64" s="314"/>
      <c r="G64" s="314"/>
      <c r="H64" s="314"/>
      <c r="I64" s="314"/>
      <c r="J64" s="314"/>
      <c r="K64" s="314"/>
    </row>
    <row r="65" spans="1:11" x14ac:dyDescent="0.25">
      <c r="A65" s="314"/>
      <c r="B65" s="314"/>
      <c r="C65" s="314"/>
      <c r="D65" s="314"/>
      <c r="E65" s="314"/>
      <c r="G65" s="314"/>
      <c r="H65" s="314"/>
      <c r="I65" s="314"/>
      <c r="J65" s="314"/>
      <c r="K65" s="314"/>
    </row>
    <row r="66" spans="1:11" x14ac:dyDescent="0.25">
      <c r="A66" s="314"/>
      <c r="B66" s="314"/>
      <c r="C66" s="314"/>
      <c r="D66" s="314"/>
      <c r="E66" s="314"/>
      <c r="G66" s="314"/>
      <c r="H66" s="314"/>
      <c r="I66" s="314"/>
      <c r="J66" s="314"/>
      <c r="K66" s="314"/>
    </row>
    <row r="67" spans="1:11" x14ac:dyDescent="0.25">
      <c r="A67" s="314"/>
      <c r="B67" s="314"/>
      <c r="C67" s="314"/>
      <c r="D67" s="314"/>
      <c r="E67" s="314"/>
      <c r="G67" s="314"/>
      <c r="H67" s="314"/>
      <c r="I67" s="314"/>
      <c r="J67" s="314"/>
      <c r="K67" s="314"/>
    </row>
    <row r="68" spans="1:11" x14ac:dyDescent="0.25">
      <c r="A68" s="314"/>
      <c r="B68" s="314"/>
      <c r="C68" s="314"/>
      <c r="D68" s="314"/>
      <c r="E68" s="314"/>
      <c r="G68" s="314"/>
      <c r="H68" s="314"/>
      <c r="I68" s="314"/>
      <c r="J68" s="314"/>
      <c r="K68" s="314"/>
    </row>
    <row r="69" spans="1:11" x14ac:dyDescent="0.25">
      <c r="A69" s="314"/>
      <c r="B69" s="314"/>
      <c r="C69" s="314"/>
      <c r="D69" s="314"/>
      <c r="E69" s="314"/>
      <c r="G69" s="314"/>
      <c r="H69" s="314"/>
      <c r="I69" s="314"/>
      <c r="J69" s="314"/>
      <c r="K69" s="314"/>
    </row>
    <row r="70" spans="1:11" x14ac:dyDescent="0.25">
      <c r="A70" s="314"/>
      <c r="B70" s="314"/>
      <c r="C70" s="314"/>
      <c r="D70" s="314"/>
      <c r="E70" s="314"/>
      <c r="G70" s="314"/>
      <c r="H70" s="314"/>
      <c r="I70" s="314"/>
      <c r="J70" s="314"/>
      <c r="K70" s="314"/>
    </row>
    <row r="71" spans="1:11" x14ac:dyDescent="0.25">
      <c r="A71" s="314"/>
      <c r="B71" s="314"/>
      <c r="C71" s="314"/>
      <c r="D71" s="314"/>
      <c r="E71" s="314"/>
      <c r="G71" s="314"/>
      <c r="H71" s="314"/>
      <c r="I71" s="314"/>
      <c r="J71" s="314"/>
      <c r="K71" s="314"/>
    </row>
    <row r="72" spans="1:11" x14ac:dyDescent="0.25">
      <c r="A72" s="314"/>
      <c r="B72" s="314"/>
      <c r="C72" s="314"/>
      <c r="D72" s="314"/>
      <c r="E72" s="314"/>
      <c r="G72" s="314"/>
      <c r="H72" s="314"/>
      <c r="I72" s="314"/>
      <c r="J72" s="314"/>
      <c r="K72" s="314"/>
    </row>
    <row r="73" spans="1:11" x14ac:dyDescent="0.25">
      <c r="A73" s="314"/>
      <c r="B73" s="314"/>
      <c r="C73" s="314"/>
      <c r="D73" s="314"/>
      <c r="E73" s="314"/>
      <c r="G73" s="314"/>
      <c r="H73" s="314"/>
      <c r="I73" s="314"/>
      <c r="J73" s="314"/>
      <c r="K73" s="314"/>
    </row>
    <row r="74" spans="1:11" x14ac:dyDescent="0.25">
      <c r="A74" s="314"/>
      <c r="B74" s="314"/>
      <c r="C74" s="314"/>
      <c r="D74" s="314"/>
      <c r="E74" s="314"/>
      <c r="G74" s="314"/>
      <c r="H74" s="314"/>
      <c r="I74" s="314"/>
      <c r="J74" s="314"/>
      <c r="K74" s="314"/>
    </row>
    <row r="75" spans="1:11" x14ac:dyDescent="0.25">
      <c r="A75" s="314"/>
      <c r="B75" s="314"/>
      <c r="C75" s="314"/>
      <c r="D75" s="314"/>
      <c r="E75" s="314"/>
      <c r="G75" s="314"/>
      <c r="H75" s="314"/>
      <c r="I75" s="314"/>
      <c r="J75" s="314"/>
      <c r="K75" s="314"/>
    </row>
    <row r="76" spans="1:11" x14ac:dyDescent="0.25">
      <c r="A76" s="314"/>
      <c r="B76" s="314"/>
      <c r="C76" s="314"/>
      <c r="D76" s="314"/>
      <c r="E76" s="314"/>
      <c r="G76" s="314"/>
      <c r="H76" s="314"/>
      <c r="I76" s="314"/>
      <c r="J76" s="314"/>
      <c r="K76" s="314"/>
    </row>
    <row r="77" spans="1:11" x14ac:dyDescent="0.25">
      <c r="A77" s="314"/>
      <c r="B77" s="314"/>
      <c r="C77" s="314"/>
      <c r="D77" s="314"/>
      <c r="E77" s="314"/>
      <c r="G77" s="314"/>
      <c r="H77" s="314"/>
      <c r="I77" s="314"/>
      <c r="J77" s="314"/>
      <c r="K77" s="314"/>
    </row>
    <row r="78" spans="1:11" x14ac:dyDescent="0.25">
      <c r="A78" s="314"/>
      <c r="B78" s="314"/>
      <c r="C78" s="314"/>
      <c r="D78" s="314"/>
      <c r="E78" s="314"/>
      <c r="G78" s="314"/>
      <c r="H78" s="314"/>
      <c r="I78" s="314"/>
      <c r="J78" s="314"/>
      <c r="K78" s="314"/>
    </row>
    <row r="80" spans="1:11" x14ac:dyDescent="0.25">
      <c r="A80" s="315" t="s">
        <v>215</v>
      </c>
      <c r="B80" s="315"/>
      <c r="C80" s="315"/>
      <c r="D80" s="315"/>
      <c r="E80" s="315"/>
      <c r="G80" s="315" t="s">
        <v>206</v>
      </c>
      <c r="H80" s="315"/>
      <c r="I80" s="315"/>
      <c r="J80" s="315"/>
      <c r="K80" s="315"/>
    </row>
    <row r="81" spans="1:11" x14ac:dyDescent="0.25">
      <c r="A81" s="314"/>
      <c r="B81" s="314"/>
      <c r="C81" s="314"/>
      <c r="D81" s="314"/>
      <c r="E81" s="314"/>
      <c r="G81" s="314"/>
      <c r="H81" s="314"/>
      <c r="I81" s="314"/>
      <c r="J81" s="314"/>
      <c r="K81" s="314"/>
    </row>
    <row r="82" spans="1:11" x14ac:dyDescent="0.25">
      <c r="A82" s="314"/>
      <c r="B82" s="314"/>
      <c r="C82" s="314"/>
      <c r="D82" s="314"/>
      <c r="E82" s="314"/>
      <c r="G82" s="314"/>
      <c r="H82" s="314"/>
      <c r="I82" s="314"/>
      <c r="J82" s="314"/>
      <c r="K82" s="314"/>
    </row>
    <row r="83" spans="1:11" x14ac:dyDescent="0.25">
      <c r="A83" s="314"/>
      <c r="B83" s="314"/>
      <c r="C83" s="314"/>
      <c r="D83" s="314"/>
      <c r="E83" s="314"/>
      <c r="G83" s="314"/>
      <c r="H83" s="314"/>
      <c r="I83" s="314"/>
      <c r="J83" s="314"/>
      <c r="K83" s="314"/>
    </row>
    <row r="84" spans="1:11" x14ac:dyDescent="0.25">
      <c r="A84" s="314"/>
      <c r="B84" s="314"/>
      <c r="C84" s="314"/>
      <c r="D84" s="314"/>
      <c r="E84" s="314"/>
      <c r="G84" s="314"/>
      <c r="H84" s="314"/>
      <c r="I84" s="314"/>
      <c r="J84" s="314"/>
      <c r="K84" s="314"/>
    </row>
    <row r="85" spans="1:11" x14ac:dyDescent="0.25">
      <c r="A85" s="314"/>
      <c r="B85" s="314"/>
      <c r="C85" s="314"/>
      <c r="D85" s="314"/>
      <c r="E85" s="314"/>
      <c r="G85" s="314"/>
      <c r="H85" s="314"/>
      <c r="I85" s="314"/>
      <c r="J85" s="314"/>
      <c r="K85" s="314"/>
    </row>
    <row r="86" spans="1:11" x14ac:dyDescent="0.25">
      <c r="A86" s="314"/>
      <c r="B86" s="314"/>
      <c r="C86" s="314"/>
      <c r="D86" s="314"/>
      <c r="E86" s="314"/>
      <c r="G86" s="314"/>
      <c r="H86" s="314"/>
      <c r="I86" s="314"/>
      <c r="J86" s="314"/>
      <c r="K86" s="314"/>
    </row>
    <row r="87" spans="1:11" x14ac:dyDescent="0.25">
      <c r="A87" s="314"/>
      <c r="B87" s="314"/>
      <c r="C87" s="314"/>
      <c r="D87" s="314"/>
      <c r="E87" s="314"/>
      <c r="G87" s="314"/>
      <c r="H87" s="314"/>
      <c r="I87" s="314"/>
      <c r="J87" s="314"/>
      <c r="K87" s="314"/>
    </row>
    <row r="88" spans="1:11" x14ac:dyDescent="0.25">
      <c r="A88" s="314"/>
      <c r="B88" s="314"/>
      <c r="C88" s="314"/>
      <c r="D88" s="314"/>
      <c r="E88" s="314"/>
      <c r="G88" s="314"/>
      <c r="H88" s="314"/>
      <c r="I88" s="314"/>
      <c r="J88" s="314"/>
      <c r="K88" s="314"/>
    </row>
    <row r="89" spans="1:11" x14ac:dyDescent="0.25">
      <c r="A89" s="314"/>
      <c r="B89" s="314"/>
      <c r="C89" s="314"/>
      <c r="D89" s="314"/>
      <c r="E89" s="314"/>
      <c r="G89" s="314"/>
      <c r="H89" s="314"/>
      <c r="I89" s="314"/>
      <c r="J89" s="314"/>
      <c r="K89" s="314"/>
    </row>
    <row r="90" spans="1:11" x14ac:dyDescent="0.25">
      <c r="A90" s="314"/>
      <c r="B90" s="314"/>
      <c r="C90" s="314"/>
      <c r="D90" s="314"/>
      <c r="E90" s="314"/>
      <c r="G90" s="314"/>
      <c r="H90" s="314"/>
      <c r="I90" s="314"/>
      <c r="J90" s="314"/>
      <c r="K90" s="314"/>
    </row>
    <row r="91" spans="1:11" x14ac:dyDescent="0.25">
      <c r="A91" s="314"/>
      <c r="B91" s="314"/>
      <c r="C91" s="314"/>
      <c r="D91" s="314"/>
      <c r="E91" s="314"/>
      <c r="G91" s="314"/>
      <c r="H91" s="314"/>
      <c r="I91" s="314"/>
      <c r="J91" s="314"/>
      <c r="K91" s="314"/>
    </row>
    <row r="92" spans="1:11" x14ac:dyDescent="0.25">
      <c r="A92" s="314"/>
      <c r="B92" s="314"/>
      <c r="C92" s="314"/>
      <c r="D92" s="314"/>
      <c r="E92" s="314"/>
      <c r="G92" s="314"/>
      <c r="H92" s="314"/>
      <c r="I92" s="314"/>
      <c r="J92" s="314"/>
      <c r="K92" s="314"/>
    </row>
    <row r="93" spans="1:11" x14ac:dyDescent="0.25">
      <c r="A93" s="314"/>
      <c r="B93" s="314"/>
      <c r="C93" s="314"/>
      <c r="D93" s="314"/>
      <c r="E93" s="314"/>
      <c r="G93" s="314"/>
      <c r="H93" s="314"/>
      <c r="I93" s="314"/>
      <c r="J93" s="314"/>
      <c r="K93" s="314"/>
    </row>
    <row r="94" spans="1:11" x14ac:dyDescent="0.25">
      <c r="A94" s="314"/>
      <c r="B94" s="314"/>
      <c r="C94" s="314"/>
      <c r="D94" s="314"/>
      <c r="E94" s="314"/>
      <c r="G94" s="314"/>
      <c r="H94" s="314"/>
      <c r="I94" s="314"/>
      <c r="J94" s="314"/>
      <c r="K94" s="314"/>
    </row>
    <row r="95" spans="1:11" x14ac:dyDescent="0.25">
      <c r="A95" s="314"/>
      <c r="B95" s="314"/>
      <c r="C95" s="314"/>
      <c r="D95" s="314"/>
      <c r="E95" s="314"/>
      <c r="G95" s="314"/>
      <c r="H95" s="314"/>
      <c r="I95" s="314"/>
      <c r="J95" s="314"/>
      <c r="K95" s="314"/>
    </row>
    <row r="97" spans="1:11" x14ac:dyDescent="0.25">
      <c r="A97" s="315" t="s">
        <v>216</v>
      </c>
      <c r="B97" s="315"/>
      <c r="C97" s="315"/>
      <c r="D97" s="315"/>
      <c r="E97" s="315"/>
      <c r="G97" s="315" t="s">
        <v>205</v>
      </c>
      <c r="H97" s="315"/>
      <c r="I97" s="315"/>
      <c r="J97" s="315"/>
      <c r="K97" s="315"/>
    </row>
    <row r="98" spans="1:11" x14ac:dyDescent="0.25">
      <c r="A98" s="314"/>
      <c r="B98" s="314"/>
      <c r="C98" s="314"/>
      <c r="D98" s="314"/>
      <c r="E98" s="314"/>
      <c r="G98" s="314"/>
      <c r="H98" s="314"/>
      <c r="I98" s="314"/>
      <c r="J98" s="314"/>
      <c r="K98" s="314"/>
    </row>
    <row r="99" spans="1:11" x14ac:dyDescent="0.25">
      <c r="A99" s="314"/>
      <c r="B99" s="314"/>
      <c r="C99" s="314"/>
      <c r="D99" s="314"/>
      <c r="E99" s="314"/>
      <c r="G99" s="314"/>
      <c r="H99" s="314"/>
      <c r="I99" s="314"/>
      <c r="J99" s="314"/>
      <c r="K99" s="314"/>
    </row>
    <row r="100" spans="1:11" x14ac:dyDescent="0.25">
      <c r="A100" s="314"/>
      <c r="B100" s="314"/>
      <c r="C100" s="314"/>
      <c r="D100" s="314"/>
      <c r="E100" s="314"/>
      <c r="G100" s="314"/>
      <c r="H100" s="314"/>
      <c r="I100" s="314"/>
      <c r="J100" s="314"/>
      <c r="K100" s="314"/>
    </row>
    <row r="101" spans="1:11" x14ac:dyDescent="0.25">
      <c r="A101" s="314"/>
      <c r="B101" s="314"/>
      <c r="C101" s="314"/>
      <c r="D101" s="314"/>
      <c r="E101" s="314"/>
      <c r="G101" s="314"/>
      <c r="H101" s="314"/>
      <c r="I101" s="314"/>
      <c r="J101" s="314"/>
      <c r="K101" s="314"/>
    </row>
    <row r="102" spans="1:11" x14ac:dyDescent="0.25">
      <c r="A102" s="314"/>
      <c r="B102" s="314"/>
      <c r="C102" s="314"/>
      <c r="D102" s="314"/>
      <c r="E102" s="314"/>
      <c r="G102" s="314"/>
      <c r="H102" s="314"/>
      <c r="I102" s="314"/>
      <c r="J102" s="314"/>
      <c r="K102" s="314"/>
    </row>
    <row r="103" spans="1:11" x14ac:dyDescent="0.25">
      <c r="A103" s="314"/>
      <c r="B103" s="314"/>
      <c r="C103" s="314"/>
      <c r="D103" s="314"/>
      <c r="E103" s="314"/>
      <c r="G103" s="314"/>
      <c r="H103" s="314"/>
      <c r="I103" s="314"/>
      <c r="J103" s="314"/>
      <c r="K103" s="314"/>
    </row>
    <row r="104" spans="1:11" x14ac:dyDescent="0.25">
      <c r="A104" s="314"/>
      <c r="B104" s="314"/>
      <c r="C104" s="314"/>
      <c r="D104" s="314"/>
      <c r="E104" s="314"/>
      <c r="G104" s="314"/>
      <c r="H104" s="314"/>
      <c r="I104" s="314"/>
      <c r="J104" s="314"/>
      <c r="K104" s="314"/>
    </row>
    <row r="105" spans="1:11" x14ac:dyDescent="0.25">
      <c r="A105" s="314"/>
      <c r="B105" s="314"/>
      <c r="C105" s="314"/>
      <c r="D105" s="314"/>
      <c r="E105" s="314"/>
      <c r="G105" s="314"/>
      <c r="H105" s="314"/>
      <c r="I105" s="314"/>
      <c r="J105" s="314"/>
      <c r="K105" s="314"/>
    </row>
    <row r="106" spans="1:11" x14ac:dyDescent="0.25">
      <c r="A106" s="314"/>
      <c r="B106" s="314"/>
      <c r="C106" s="314"/>
      <c r="D106" s="314"/>
      <c r="E106" s="314"/>
      <c r="G106" s="314"/>
      <c r="H106" s="314"/>
      <c r="I106" s="314"/>
      <c r="J106" s="314"/>
      <c r="K106" s="314"/>
    </row>
    <row r="107" spans="1:11" x14ac:dyDescent="0.25">
      <c r="A107" s="314"/>
      <c r="B107" s="314"/>
      <c r="C107" s="314"/>
      <c r="D107" s="314"/>
      <c r="E107" s="314"/>
      <c r="G107" s="314"/>
      <c r="H107" s="314"/>
      <c r="I107" s="314"/>
      <c r="J107" s="314"/>
      <c r="K107" s="314"/>
    </row>
    <row r="108" spans="1:11" x14ac:dyDescent="0.25">
      <c r="A108" s="314"/>
      <c r="B108" s="314"/>
      <c r="C108" s="314"/>
      <c r="D108" s="314"/>
      <c r="E108" s="314"/>
      <c r="G108" s="314"/>
      <c r="H108" s="314"/>
      <c r="I108" s="314"/>
      <c r="J108" s="314"/>
      <c r="K108" s="314"/>
    </row>
    <row r="109" spans="1:11" x14ac:dyDescent="0.25">
      <c r="A109" s="314"/>
      <c r="B109" s="314"/>
      <c r="C109" s="314"/>
      <c r="D109" s="314"/>
      <c r="E109" s="314"/>
      <c r="G109" s="314"/>
      <c r="H109" s="314"/>
      <c r="I109" s="314"/>
      <c r="J109" s="314"/>
      <c r="K109" s="314"/>
    </row>
    <row r="110" spans="1:11" x14ac:dyDescent="0.25">
      <c r="A110" s="314"/>
      <c r="B110" s="314"/>
      <c r="C110" s="314"/>
      <c r="D110" s="314"/>
      <c r="E110" s="314"/>
      <c r="G110" s="314"/>
      <c r="H110" s="314"/>
      <c r="I110" s="314"/>
      <c r="J110" s="314"/>
      <c r="K110" s="314"/>
    </row>
    <row r="111" spans="1:11" x14ac:dyDescent="0.25">
      <c r="A111" s="314"/>
      <c r="B111" s="314"/>
      <c r="C111" s="314"/>
      <c r="D111" s="314"/>
      <c r="E111" s="314"/>
      <c r="G111" s="314"/>
      <c r="H111" s="314"/>
      <c r="I111" s="314"/>
      <c r="J111" s="314"/>
      <c r="K111" s="314"/>
    </row>
    <row r="112" spans="1:11" x14ac:dyDescent="0.25">
      <c r="A112" s="314"/>
      <c r="B112" s="314"/>
      <c r="C112" s="314"/>
      <c r="D112" s="314"/>
      <c r="E112" s="314"/>
      <c r="G112" s="314"/>
      <c r="H112" s="314"/>
      <c r="I112" s="314"/>
      <c r="J112" s="314"/>
      <c r="K112" s="314"/>
    </row>
    <row r="114" spans="1:11" x14ac:dyDescent="0.25">
      <c r="A114" s="295"/>
      <c r="B114" s="295"/>
      <c r="C114" s="295"/>
      <c r="D114" s="295"/>
      <c r="E114" s="295"/>
      <c r="F114" s="295"/>
      <c r="G114" s="295"/>
      <c r="H114" s="295"/>
      <c r="I114" s="295"/>
      <c r="J114" s="295"/>
      <c r="K114" s="295"/>
    </row>
    <row r="116" spans="1:11" x14ac:dyDescent="0.25">
      <c r="A116" s="315" t="s">
        <v>207</v>
      </c>
      <c r="B116" s="315"/>
      <c r="C116" s="315"/>
      <c r="D116" s="315"/>
      <c r="E116" s="315"/>
      <c r="G116" s="315" t="s">
        <v>202</v>
      </c>
      <c r="H116" s="315"/>
      <c r="I116" s="315"/>
      <c r="J116" s="315"/>
      <c r="K116" s="315"/>
    </row>
    <row r="117" spans="1:11" x14ac:dyDescent="0.25">
      <c r="A117" s="314"/>
      <c r="B117" s="314"/>
      <c r="C117" s="314"/>
      <c r="D117" s="314"/>
      <c r="E117" s="314"/>
      <c r="G117" s="314"/>
      <c r="H117" s="314"/>
      <c r="I117" s="314"/>
      <c r="J117" s="314"/>
      <c r="K117" s="314"/>
    </row>
    <row r="118" spans="1:11" x14ac:dyDescent="0.25">
      <c r="A118" s="314"/>
      <c r="B118" s="314"/>
      <c r="C118" s="314"/>
      <c r="D118" s="314"/>
      <c r="E118" s="314"/>
      <c r="G118" s="314"/>
      <c r="H118" s="314"/>
      <c r="I118" s="314"/>
      <c r="J118" s="314"/>
      <c r="K118" s="314"/>
    </row>
    <row r="119" spans="1:11" x14ac:dyDescent="0.25">
      <c r="A119" s="314"/>
      <c r="B119" s="314"/>
      <c r="C119" s="314"/>
      <c r="D119" s="314"/>
      <c r="E119" s="314"/>
      <c r="G119" s="314"/>
      <c r="H119" s="314"/>
      <c r="I119" s="314"/>
      <c r="J119" s="314"/>
      <c r="K119" s="314"/>
    </row>
    <row r="120" spans="1:11" x14ac:dyDescent="0.25">
      <c r="A120" s="314"/>
      <c r="B120" s="314"/>
      <c r="C120" s="314"/>
      <c r="D120" s="314"/>
      <c r="E120" s="314"/>
      <c r="G120" s="314"/>
      <c r="H120" s="314"/>
      <c r="I120" s="314"/>
      <c r="J120" s="314"/>
      <c r="K120" s="314"/>
    </row>
    <row r="121" spans="1:11" x14ac:dyDescent="0.25">
      <c r="A121" s="314"/>
      <c r="B121" s="314"/>
      <c r="C121" s="314"/>
      <c r="D121" s="314"/>
      <c r="E121" s="314"/>
      <c r="G121" s="314"/>
      <c r="H121" s="314"/>
      <c r="I121" s="314"/>
      <c r="J121" s="314"/>
      <c r="K121" s="314"/>
    </row>
    <row r="122" spans="1:11" x14ac:dyDescent="0.25">
      <c r="A122" s="314"/>
      <c r="B122" s="314"/>
      <c r="C122" s="314"/>
      <c r="D122" s="314"/>
      <c r="E122" s="314"/>
      <c r="G122" s="314"/>
      <c r="H122" s="314"/>
      <c r="I122" s="314"/>
      <c r="J122" s="314"/>
      <c r="K122" s="314"/>
    </row>
    <row r="123" spans="1:11" x14ac:dyDescent="0.25">
      <c r="A123" s="314"/>
      <c r="B123" s="314"/>
      <c r="C123" s="314"/>
      <c r="D123" s="314"/>
      <c r="E123" s="314"/>
      <c r="G123" s="314"/>
      <c r="H123" s="314"/>
      <c r="I123" s="314"/>
      <c r="J123" s="314"/>
      <c r="K123" s="314"/>
    </row>
    <row r="124" spans="1:11" x14ac:dyDescent="0.25">
      <c r="A124" s="314"/>
      <c r="B124" s="314"/>
      <c r="C124" s="314"/>
      <c r="D124" s="314"/>
      <c r="E124" s="314"/>
      <c r="G124" s="314"/>
      <c r="H124" s="314"/>
      <c r="I124" s="314"/>
      <c r="J124" s="314"/>
      <c r="K124" s="314"/>
    </row>
    <row r="125" spans="1:11" x14ac:dyDescent="0.25">
      <c r="A125" s="314"/>
      <c r="B125" s="314"/>
      <c r="C125" s="314"/>
      <c r="D125" s="314"/>
      <c r="E125" s="314"/>
      <c r="G125" s="314"/>
      <c r="H125" s="314"/>
      <c r="I125" s="314"/>
      <c r="J125" s="314"/>
      <c r="K125" s="314"/>
    </row>
    <row r="126" spans="1:11" x14ac:dyDescent="0.25">
      <c r="A126" s="314"/>
      <c r="B126" s="314"/>
      <c r="C126" s="314"/>
      <c r="D126" s="314"/>
      <c r="E126" s="314"/>
      <c r="G126" s="314"/>
      <c r="H126" s="314"/>
      <c r="I126" s="314"/>
      <c r="J126" s="314"/>
      <c r="K126" s="314"/>
    </row>
    <row r="127" spans="1:11" x14ac:dyDescent="0.25">
      <c r="A127" s="314"/>
      <c r="B127" s="314"/>
      <c r="C127" s="314"/>
      <c r="D127" s="314"/>
      <c r="E127" s="314"/>
      <c r="G127" s="314"/>
      <c r="H127" s="314"/>
      <c r="I127" s="314"/>
      <c r="J127" s="314"/>
      <c r="K127" s="314"/>
    </row>
    <row r="128" spans="1:11" x14ac:dyDescent="0.25">
      <c r="A128" s="314"/>
      <c r="B128" s="314"/>
      <c r="C128" s="314"/>
      <c r="D128" s="314"/>
      <c r="E128" s="314"/>
      <c r="G128" s="314"/>
      <c r="H128" s="314"/>
      <c r="I128" s="314"/>
      <c r="J128" s="314"/>
      <c r="K128" s="314"/>
    </row>
    <row r="129" spans="1:11" x14ac:dyDescent="0.25">
      <c r="A129" s="314"/>
      <c r="B129" s="314"/>
      <c r="C129" s="314"/>
      <c r="D129" s="314"/>
      <c r="E129" s="314"/>
      <c r="G129" s="314"/>
      <c r="H129" s="314"/>
      <c r="I129" s="314"/>
      <c r="J129" s="314"/>
      <c r="K129" s="314"/>
    </row>
    <row r="130" spans="1:11" x14ac:dyDescent="0.25">
      <c r="A130" s="314"/>
      <c r="B130" s="314"/>
      <c r="C130" s="314"/>
      <c r="D130" s="314"/>
      <c r="E130" s="314"/>
      <c r="G130" s="314"/>
      <c r="H130" s="314"/>
      <c r="I130" s="314"/>
      <c r="J130" s="314"/>
      <c r="K130" s="314"/>
    </row>
    <row r="131" spans="1:11" x14ac:dyDescent="0.25">
      <c r="A131" s="314"/>
      <c r="B131" s="314"/>
      <c r="C131" s="314"/>
      <c r="D131" s="314"/>
      <c r="E131" s="314"/>
      <c r="G131" s="314"/>
      <c r="H131" s="314"/>
      <c r="I131" s="314"/>
      <c r="J131" s="314"/>
      <c r="K131" s="314"/>
    </row>
    <row r="133" spans="1:11" x14ac:dyDescent="0.25">
      <c r="A133" s="315" t="s">
        <v>202</v>
      </c>
      <c r="B133" s="315"/>
      <c r="C133" s="315"/>
      <c r="D133" s="315"/>
      <c r="E133" s="315"/>
      <c r="G133" s="315" t="s">
        <v>202</v>
      </c>
      <c r="H133" s="315"/>
      <c r="I133" s="315"/>
      <c r="J133" s="315"/>
      <c r="K133" s="315"/>
    </row>
    <row r="134" spans="1:11" x14ac:dyDescent="0.25">
      <c r="A134" s="314"/>
      <c r="B134" s="314"/>
      <c r="C134" s="314"/>
      <c r="D134" s="314"/>
      <c r="E134" s="314"/>
      <c r="G134" s="314"/>
      <c r="H134" s="314"/>
      <c r="I134" s="314"/>
      <c r="J134" s="314"/>
      <c r="K134" s="314"/>
    </row>
    <row r="135" spans="1:11" x14ac:dyDescent="0.25">
      <c r="A135" s="314"/>
      <c r="B135" s="314"/>
      <c r="C135" s="314"/>
      <c r="D135" s="314"/>
      <c r="E135" s="314"/>
      <c r="G135" s="314"/>
      <c r="H135" s="314"/>
      <c r="I135" s="314"/>
      <c r="J135" s="314"/>
      <c r="K135" s="314"/>
    </row>
    <row r="136" spans="1:11" x14ac:dyDescent="0.25">
      <c r="A136" s="314"/>
      <c r="B136" s="314"/>
      <c r="C136" s="314"/>
      <c r="D136" s="314"/>
      <c r="E136" s="314"/>
      <c r="G136" s="314"/>
      <c r="H136" s="314"/>
      <c r="I136" s="314"/>
      <c r="J136" s="314"/>
      <c r="K136" s="314"/>
    </row>
    <row r="137" spans="1:11" x14ac:dyDescent="0.25">
      <c r="A137" s="314"/>
      <c r="B137" s="314"/>
      <c r="C137" s="314"/>
      <c r="D137" s="314"/>
      <c r="E137" s="314"/>
      <c r="G137" s="314"/>
      <c r="H137" s="314"/>
      <c r="I137" s="314"/>
      <c r="J137" s="314"/>
      <c r="K137" s="314"/>
    </row>
    <row r="138" spans="1:11" x14ac:dyDescent="0.25">
      <c r="A138" s="314"/>
      <c r="B138" s="314"/>
      <c r="C138" s="314"/>
      <c r="D138" s="314"/>
      <c r="E138" s="314"/>
      <c r="G138" s="314"/>
      <c r="H138" s="314"/>
      <c r="I138" s="314"/>
      <c r="J138" s="314"/>
      <c r="K138" s="314"/>
    </row>
    <row r="139" spans="1:11" x14ac:dyDescent="0.25">
      <c r="A139" s="314"/>
      <c r="B139" s="314"/>
      <c r="C139" s="314"/>
      <c r="D139" s="314"/>
      <c r="E139" s="314"/>
      <c r="G139" s="314"/>
      <c r="H139" s="314"/>
      <c r="I139" s="314"/>
      <c r="J139" s="314"/>
      <c r="K139" s="314"/>
    </row>
    <row r="140" spans="1:11" x14ac:dyDescent="0.25">
      <c r="A140" s="314"/>
      <c r="B140" s="314"/>
      <c r="C140" s="314"/>
      <c r="D140" s="314"/>
      <c r="E140" s="314"/>
      <c r="G140" s="314"/>
      <c r="H140" s="314"/>
      <c r="I140" s="314"/>
      <c r="J140" s="314"/>
      <c r="K140" s="314"/>
    </row>
    <row r="141" spans="1:11" x14ac:dyDescent="0.25">
      <c r="A141" s="314"/>
      <c r="B141" s="314"/>
      <c r="C141" s="314"/>
      <c r="D141" s="314"/>
      <c r="E141" s="314"/>
      <c r="G141" s="314"/>
      <c r="H141" s="314"/>
      <c r="I141" s="314"/>
      <c r="J141" s="314"/>
      <c r="K141" s="314"/>
    </row>
    <row r="142" spans="1:11" x14ac:dyDescent="0.25">
      <c r="A142" s="314"/>
      <c r="B142" s="314"/>
      <c r="C142" s="314"/>
      <c r="D142" s="314"/>
      <c r="E142" s="314"/>
      <c r="G142" s="314"/>
      <c r="H142" s="314"/>
      <c r="I142" s="314"/>
      <c r="J142" s="314"/>
      <c r="K142" s="314"/>
    </row>
    <row r="143" spans="1:11" x14ac:dyDescent="0.25">
      <c r="A143" s="314"/>
      <c r="B143" s="314"/>
      <c r="C143" s="314"/>
      <c r="D143" s="314"/>
      <c r="E143" s="314"/>
      <c r="G143" s="314"/>
      <c r="H143" s="314"/>
      <c r="I143" s="314"/>
      <c r="J143" s="314"/>
      <c r="K143" s="314"/>
    </row>
    <row r="144" spans="1:11" x14ac:dyDescent="0.25">
      <c r="A144" s="314"/>
      <c r="B144" s="314"/>
      <c r="C144" s="314"/>
      <c r="D144" s="314"/>
      <c r="E144" s="314"/>
      <c r="G144" s="314"/>
      <c r="H144" s="314"/>
      <c r="I144" s="314"/>
      <c r="J144" s="314"/>
      <c r="K144" s="314"/>
    </row>
    <row r="145" spans="1:11" x14ac:dyDescent="0.25">
      <c r="A145" s="314"/>
      <c r="B145" s="314"/>
      <c r="C145" s="314"/>
      <c r="D145" s="314"/>
      <c r="E145" s="314"/>
      <c r="G145" s="314"/>
      <c r="H145" s="314"/>
      <c r="I145" s="314"/>
      <c r="J145" s="314"/>
      <c r="K145" s="314"/>
    </row>
    <row r="146" spans="1:11" x14ac:dyDescent="0.25">
      <c r="A146" s="314"/>
      <c r="B146" s="314"/>
      <c r="C146" s="314"/>
      <c r="D146" s="314"/>
      <c r="E146" s="314"/>
      <c r="G146" s="314"/>
      <c r="H146" s="314"/>
      <c r="I146" s="314"/>
      <c r="J146" s="314"/>
      <c r="K146" s="314"/>
    </row>
    <row r="147" spans="1:11" x14ac:dyDescent="0.25">
      <c r="A147" s="314"/>
      <c r="B147" s="314"/>
      <c r="C147" s="314"/>
      <c r="D147" s="314"/>
      <c r="E147" s="314"/>
      <c r="G147" s="314"/>
      <c r="H147" s="314"/>
      <c r="I147" s="314"/>
      <c r="J147" s="314"/>
      <c r="K147" s="314"/>
    </row>
    <row r="148" spans="1:11" x14ac:dyDescent="0.25">
      <c r="A148" s="314"/>
      <c r="B148" s="314"/>
      <c r="C148" s="314"/>
      <c r="D148" s="314"/>
      <c r="E148" s="314"/>
      <c r="G148" s="314"/>
      <c r="H148" s="314"/>
      <c r="I148" s="314"/>
      <c r="J148" s="314"/>
      <c r="K148" s="314"/>
    </row>
    <row r="149" spans="1:11" x14ac:dyDescent="0.25">
      <c r="A149" s="85"/>
      <c r="B149" s="85"/>
      <c r="C149" s="85"/>
      <c r="D149" s="85"/>
      <c r="E149" s="85"/>
      <c r="G149" s="85"/>
      <c r="H149" s="85"/>
      <c r="I149" s="85"/>
      <c r="J149" s="85"/>
      <c r="K149" s="85"/>
    </row>
    <row r="150" spans="1:11" x14ac:dyDescent="0.25">
      <c r="A150" s="315" t="s">
        <v>202</v>
      </c>
      <c r="B150" s="315"/>
      <c r="C150" s="315"/>
      <c r="D150" s="315"/>
      <c r="E150" s="315"/>
      <c r="G150" s="315" t="s">
        <v>202</v>
      </c>
      <c r="H150" s="315"/>
      <c r="I150" s="315"/>
      <c r="J150" s="315"/>
      <c r="K150" s="315"/>
    </row>
    <row r="151" spans="1:11" x14ac:dyDescent="0.25">
      <c r="A151" s="314"/>
      <c r="B151" s="314"/>
      <c r="C151" s="314"/>
      <c r="D151" s="314"/>
      <c r="E151" s="314"/>
      <c r="G151" s="314"/>
      <c r="H151" s="314"/>
      <c r="I151" s="314"/>
      <c r="J151" s="314"/>
      <c r="K151" s="314"/>
    </row>
    <row r="152" spans="1:11" x14ac:dyDescent="0.25">
      <c r="A152" s="314"/>
      <c r="B152" s="314"/>
      <c r="C152" s="314"/>
      <c r="D152" s="314"/>
      <c r="E152" s="314"/>
      <c r="G152" s="314"/>
      <c r="H152" s="314"/>
      <c r="I152" s="314"/>
      <c r="J152" s="314"/>
      <c r="K152" s="314"/>
    </row>
    <row r="153" spans="1:11" x14ac:dyDescent="0.25">
      <c r="A153" s="314"/>
      <c r="B153" s="314"/>
      <c r="C153" s="314"/>
      <c r="D153" s="314"/>
      <c r="E153" s="314"/>
      <c r="G153" s="314"/>
      <c r="H153" s="314"/>
      <c r="I153" s="314"/>
      <c r="J153" s="314"/>
      <c r="K153" s="314"/>
    </row>
    <row r="154" spans="1:11" x14ac:dyDescent="0.25">
      <c r="A154" s="314"/>
      <c r="B154" s="314"/>
      <c r="C154" s="314"/>
      <c r="D154" s="314"/>
      <c r="E154" s="314"/>
      <c r="G154" s="314"/>
      <c r="H154" s="314"/>
      <c r="I154" s="314"/>
      <c r="J154" s="314"/>
      <c r="K154" s="314"/>
    </row>
    <row r="155" spans="1:11" x14ac:dyDescent="0.25">
      <c r="A155" s="314"/>
      <c r="B155" s="314"/>
      <c r="C155" s="314"/>
      <c r="D155" s="314"/>
      <c r="E155" s="314"/>
      <c r="G155" s="314"/>
      <c r="H155" s="314"/>
      <c r="I155" s="314"/>
      <c r="J155" s="314"/>
      <c r="K155" s="314"/>
    </row>
    <row r="156" spans="1:11" x14ac:dyDescent="0.25">
      <c r="A156" s="314"/>
      <c r="B156" s="314"/>
      <c r="C156" s="314"/>
      <c r="D156" s="314"/>
      <c r="E156" s="314"/>
      <c r="G156" s="314"/>
      <c r="H156" s="314"/>
      <c r="I156" s="314"/>
      <c r="J156" s="314"/>
      <c r="K156" s="314"/>
    </row>
    <row r="157" spans="1:11" x14ac:dyDescent="0.25">
      <c r="A157" s="314"/>
      <c r="B157" s="314"/>
      <c r="C157" s="314"/>
      <c r="D157" s="314"/>
      <c r="E157" s="314"/>
      <c r="G157" s="314"/>
      <c r="H157" s="314"/>
      <c r="I157" s="314"/>
      <c r="J157" s="314"/>
      <c r="K157" s="314"/>
    </row>
    <row r="158" spans="1:11" x14ac:dyDescent="0.25">
      <c r="A158" s="314"/>
      <c r="B158" s="314"/>
      <c r="C158" s="314"/>
      <c r="D158" s="314"/>
      <c r="E158" s="314"/>
      <c r="G158" s="314"/>
      <c r="H158" s="314"/>
      <c r="I158" s="314"/>
      <c r="J158" s="314"/>
      <c r="K158" s="314"/>
    </row>
    <row r="159" spans="1:11" x14ac:dyDescent="0.25">
      <c r="A159" s="314"/>
      <c r="B159" s="314"/>
      <c r="C159" s="314"/>
      <c r="D159" s="314"/>
      <c r="E159" s="314"/>
      <c r="G159" s="314"/>
      <c r="H159" s="314"/>
      <c r="I159" s="314"/>
      <c r="J159" s="314"/>
      <c r="K159" s="314"/>
    </row>
    <row r="160" spans="1:11" x14ac:dyDescent="0.25">
      <c r="A160" s="314"/>
      <c r="B160" s="314"/>
      <c r="C160" s="314"/>
      <c r="D160" s="314"/>
      <c r="E160" s="314"/>
      <c r="G160" s="314"/>
      <c r="H160" s="314"/>
      <c r="I160" s="314"/>
      <c r="J160" s="314"/>
      <c r="K160" s="314"/>
    </row>
    <row r="161" spans="1:11" x14ac:dyDescent="0.25">
      <c r="A161" s="314"/>
      <c r="B161" s="314"/>
      <c r="C161" s="314"/>
      <c r="D161" s="314"/>
      <c r="E161" s="314"/>
      <c r="G161" s="314"/>
      <c r="H161" s="314"/>
      <c r="I161" s="314"/>
      <c r="J161" s="314"/>
      <c r="K161" s="314"/>
    </row>
    <row r="162" spans="1:11" x14ac:dyDescent="0.25">
      <c r="A162" s="314"/>
      <c r="B162" s="314"/>
      <c r="C162" s="314"/>
      <c r="D162" s="314"/>
      <c r="E162" s="314"/>
      <c r="G162" s="314"/>
      <c r="H162" s="314"/>
      <c r="I162" s="314"/>
      <c r="J162" s="314"/>
      <c r="K162" s="314"/>
    </row>
    <row r="163" spans="1:11" x14ac:dyDescent="0.25">
      <c r="A163" s="314"/>
      <c r="B163" s="314"/>
      <c r="C163" s="314"/>
      <c r="D163" s="314"/>
      <c r="E163" s="314"/>
      <c r="G163" s="314"/>
      <c r="H163" s="314"/>
      <c r="I163" s="314"/>
      <c r="J163" s="314"/>
      <c r="K163" s="314"/>
    </row>
    <row r="164" spans="1:11" x14ac:dyDescent="0.25">
      <c r="A164" s="314"/>
      <c r="B164" s="314"/>
      <c r="C164" s="314"/>
      <c r="D164" s="314"/>
      <c r="E164" s="314"/>
      <c r="G164" s="314"/>
      <c r="H164" s="314"/>
      <c r="I164" s="314"/>
      <c r="J164" s="314"/>
      <c r="K164" s="314"/>
    </row>
    <row r="165" spans="1:11" x14ac:dyDescent="0.25">
      <c r="A165" s="314"/>
      <c r="B165" s="314"/>
      <c r="C165" s="314"/>
      <c r="D165" s="314"/>
      <c r="E165" s="314"/>
      <c r="G165" s="314"/>
      <c r="H165" s="314"/>
      <c r="I165" s="314"/>
      <c r="J165" s="314"/>
      <c r="K165" s="314"/>
    </row>
    <row r="167" spans="1:11" x14ac:dyDescent="0.25">
      <c r="A167" s="315" t="s">
        <v>202</v>
      </c>
      <c r="B167" s="315"/>
      <c r="C167" s="315"/>
      <c r="D167" s="315"/>
      <c r="E167" s="315"/>
      <c r="G167" s="315" t="s">
        <v>202</v>
      </c>
      <c r="H167" s="315"/>
      <c r="I167" s="315"/>
      <c r="J167" s="315"/>
      <c r="K167" s="315"/>
    </row>
    <row r="168" spans="1:11" x14ac:dyDescent="0.25">
      <c r="A168" s="314"/>
      <c r="B168" s="314"/>
      <c r="C168" s="314"/>
      <c r="D168" s="314"/>
      <c r="E168" s="314"/>
      <c r="G168" s="314"/>
      <c r="H168" s="314"/>
      <c r="I168" s="314"/>
      <c r="J168" s="314"/>
      <c r="K168" s="314"/>
    </row>
    <row r="169" spans="1:11" x14ac:dyDescent="0.25">
      <c r="A169" s="314"/>
      <c r="B169" s="314"/>
      <c r="C169" s="314"/>
      <c r="D169" s="314"/>
      <c r="E169" s="314"/>
      <c r="G169" s="314"/>
      <c r="H169" s="314"/>
      <c r="I169" s="314"/>
      <c r="J169" s="314"/>
      <c r="K169" s="314"/>
    </row>
    <row r="170" spans="1:11" x14ac:dyDescent="0.25">
      <c r="A170" s="314"/>
      <c r="B170" s="314"/>
      <c r="C170" s="314"/>
      <c r="D170" s="314"/>
      <c r="E170" s="314"/>
      <c r="G170" s="314"/>
      <c r="H170" s="314"/>
      <c r="I170" s="314"/>
      <c r="J170" s="314"/>
      <c r="K170" s="314"/>
    </row>
    <row r="171" spans="1:11" x14ac:dyDescent="0.25">
      <c r="A171" s="314"/>
      <c r="B171" s="314"/>
      <c r="C171" s="314"/>
      <c r="D171" s="314"/>
      <c r="E171" s="314"/>
      <c r="G171" s="314"/>
      <c r="H171" s="314"/>
      <c r="I171" s="314"/>
      <c r="J171" s="314"/>
      <c r="K171" s="314"/>
    </row>
    <row r="172" spans="1:11" x14ac:dyDescent="0.25">
      <c r="A172" s="314"/>
      <c r="B172" s="314"/>
      <c r="C172" s="314"/>
      <c r="D172" s="314"/>
      <c r="E172" s="314"/>
      <c r="G172" s="314"/>
      <c r="H172" s="314"/>
      <c r="I172" s="314"/>
      <c r="J172" s="314"/>
      <c r="K172" s="314"/>
    </row>
    <row r="173" spans="1:11" x14ac:dyDescent="0.25">
      <c r="A173" s="314"/>
      <c r="B173" s="314"/>
      <c r="C173" s="314"/>
      <c r="D173" s="314"/>
      <c r="E173" s="314"/>
      <c r="G173" s="314"/>
      <c r="H173" s="314"/>
      <c r="I173" s="314"/>
      <c r="J173" s="314"/>
      <c r="K173" s="314"/>
    </row>
    <row r="174" spans="1:11" x14ac:dyDescent="0.25">
      <c r="A174" s="314"/>
      <c r="B174" s="314"/>
      <c r="C174" s="314"/>
      <c r="D174" s="314"/>
      <c r="E174" s="314"/>
      <c r="G174" s="314"/>
      <c r="H174" s="314"/>
      <c r="I174" s="314"/>
      <c r="J174" s="314"/>
      <c r="K174" s="314"/>
    </row>
    <row r="175" spans="1:11" x14ac:dyDescent="0.25">
      <c r="A175" s="314"/>
      <c r="B175" s="314"/>
      <c r="C175" s="314"/>
      <c r="D175" s="314"/>
      <c r="E175" s="314"/>
      <c r="G175" s="314"/>
      <c r="H175" s="314"/>
      <c r="I175" s="314"/>
      <c r="J175" s="314"/>
      <c r="K175" s="314"/>
    </row>
    <row r="176" spans="1:11" x14ac:dyDescent="0.25">
      <c r="A176" s="314"/>
      <c r="B176" s="314"/>
      <c r="C176" s="314"/>
      <c r="D176" s="314"/>
      <c r="E176" s="314"/>
      <c r="G176" s="314"/>
      <c r="H176" s="314"/>
      <c r="I176" s="314"/>
      <c r="J176" s="314"/>
      <c r="K176" s="314"/>
    </row>
    <row r="177" spans="1:11" x14ac:dyDescent="0.25">
      <c r="A177" s="314"/>
      <c r="B177" s="314"/>
      <c r="C177" s="314"/>
      <c r="D177" s="314"/>
      <c r="E177" s="314"/>
      <c r="G177" s="314"/>
      <c r="H177" s="314"/>
      <c r="I177" s="314"/>
      <c r="J177" s="314"/>
      <c r="K177" s="314"/>
    </row>
    <row r="178" spans="1:11" x14ac:dyDescent="0.25">
      <c r="A178" s="314"/>
      <c r="B178" s="314"/>
      <c r="C178" s="314"/>
      <c r="D178" s="314"/>
      <c r="E178" s="314"/>
      <c r="G178" s="314"/>
      <c r="H178" s="314"/>
      <c r="I178" s="314"/>
      <c r="J178" s="314"/>
      <c r="K178" s="314"/>
    </row>
    <row r="179" spans="1:11" x14ac:dyDescent="0.25">
      <c r="A179" s="314"/>
      <c r="B179" s="314"/>
      <c r="C179" s="314"/>
      <c r="D179" s="314"/>
      <c r="E179" s="314"/>
      <c r="G179" s="314"/>
      <c r="H179" s="314"/>
      <c r="I179" s="314"/>
      <c r="J179" s="314"/>
      <c r="K179" s="314"/>
    </row>
    <row r="180" spans="1:11" x14ac:dyDescent="0.25">
      <c r="A180" s="314"/>
      <c r="B180" s="314"/>
      <c r="C180" s="314"/>
      <c r="D180" s="314"/>
      <c r="E180" s="314"/>
      <c r="G180" s="314"/>
      <c r="H180" s="314"/>
      <c r="I180" s="314"/>
      <c r="J180" s="314"/>
      <c r="K180" s="314"/>
    </row>
    <row r="181" spans="1:11" x14ac:dyDescent="0.25">
      <c r="A181" s="314"/>
      <c r="B181" s="314"/>
      <c r="C181" s="314"/>
      <c r="D181" s="314"/>
      <c r="E181" s="314"/>
      <c r="G181" s="314"/>
      <c r="H181" s="314"/>
      <c r="I181" s="314"/>
      <c r="J181" s="314"/>
      <c r="K181" s="314"/>
    </row>
    <row r="182" spans="1:11" x14ac:dyDescent="0.25">
      <c r="A182" s="314"/>
      <c r="B182" s="314"/>
      <c r="C182" s="314"/>
      <c r="D182" s="314"/>
      <c r="E182" s="314"/>
      <c r="G182" s="314"/>
      <c r="H182" s="314"/>
      <c r="I182" s="314"/>
      <c r="J182" s="314"/>
      <c r="K182" s="314"/>
    </row>
    <row r="183" spans="1:11" x14ac:dyDescent="0.25">
      <c r="A183" s="85"/>
      <c r="B183" s="85"/>
      <c r="C183" s="85"/>
      <c r="D183" s="85"/>
      <c r="E183" s="85"/>
      <c r="G183" s="85"/>
      <c r="H183" s="85"/>
      <c r="I183" s="85"/>
      <c r="J183" s="85"/>
      <c r="K183" s="85"/>
    </row>
    <row r="185" spans="1:11" x14ac:dyDescent="0.25">
      <c r="A185" s="194" t="s">
        <v>221</v>
      </c>
      <c r="B185" s="194"/>
      <c r="C185" s="194"/>
      <c r="D185" s="194"/>
      <c r="E185" s="194"/>
      <c r="G185" s="194" t="s">
        <v>221</v>
      </c>
      <c r="H185" s="194"/>
      <c r="I185" s="194"/>
      <c r="J185" s="194"/>
      <c r="K185" s="194"/>
    </row>
    <row r="186" spans="1:11" x14ac:dyDescent="0.25">
      <c r="A186" s="314"/>
      <c r="B186" s="314"/>
      <c r="C186" s="314"/>
      <c r="D186" s="314"/>
      <c r="E186" s="314"/>
      <c r="G186" s="314"/>
      <c r="H186" s="314"/>
      <c r="I186" s="314"/>
      <c r="J186" s="314"/>
      <c r="K186" s="314"/>
    </row>
    <row r="187" spans="1:11" x14ac:dyDescent="0.25">
      <c r="A187" s="314"/>
      <c r="B187" s="314"/>
      <c r="C187" s="314"/>
      <c r="D187" s="314"/>
      <c r="E187" s="314"/>
      <c r="G187" s="314"/>
      <c r="H187" s="314"/>
      <c r="I187" s="314"/>
      <c r="J187" s="314"/>
      <c r="K187" s="314"/>
    </row>
    <row r="188" spans="1:11" x14ac:dyDescent="0.25">
      <c r="A188" s="314"/>
      <c r="B188" s="314"/>
      <c r="C188" s="314"/>
      <c r="D188" s="314"/>
      <c r="E188" s="314"/>
      <c r="G188" s="314"/>
      <c r="H188" s="314"/>
      <c r="I188" s="314"/>
      <c r="J188" s="314"/>
      <c r="K188" s="314"/>
    </row>
    <row r="189" spans="1:11" x14ac:dyDescent="0.25">
      <c r="A189" s="314"/>
      <c r="B189" s="314"/>
      <c r="C189" s="314"/>
      <c r="D189" s="314"/>
      <c r="E189" s="314"/>
      <c r="G189" s="314"/>
      <c r="H189" s="314"/>
      <c r="I189" s="314"/>
      <c r="J189" s="314"/>
      <c r="K189" s="314"/>
    </row>
    <row r="190" spans="1:11" x14ac:dyDescent="0.25">
      <c r="A190" s="314"/>
      <c r="B190" s="314"/>
      <c r="C190" s="314"/>
      <c r="D190" s="314"/>
      <c r="E190" s="314"/>
      <c r="G190" s="314"/>
      <c r="H190" s="314"/>
      <c r="I190" s="314"/>
      <c r="J190" s="314"/>
      <c r="K190" s="314"/>
    </row>
    <row r="191" spans="1:11" x14ac:dyDescent="0.25">
      <c r="A191" s="314"/>
      <c r="B191" s="314"/>
      <c r="C191" s="314"/>
      <c r="D191" s="314"/>
      <c r="E191" s="314"/>
      <c r="G191" s="314"/>
      <c r="H191" s="314"/>
      <c r="I191" s="314"/>
      <c r="J191" s="314"/>
      <c r="K191" s="314"/>
    </row>
    <row r="192" spans="1:11" x14ac:dyDescent="0.25">
      <c r="A192" s="314"/>
      <c r="B192" s="314"/>
      <c r="C192" s="314"/>
      <c r="D192" s="314"/>
      <c r="E192" s="314"/>
      <c r="G192" s="314"/>
      <c r="H192" s="314"/>
      <c r="I192" s="314"/>
      <c r="J192" s="314"/>
      <c r="K192" s="314"/>
    </row>
    <row r="193" spans="1:11" x14ac:dyDescent="0.25">
      <c r="A193" s="314"/>
      <c r="B193" s="314"/>
      <c r="C193" s="314"/>
      <c r="D193" s="314"/>
      <c r="E193" s="314"/>
      <c r="G193" s="314"/>
      <c r="H193" s="314"/>
      <c r="I193" s="314"/>
      <c r="J193" s="314"/>
      <c r="K193" s="314"/>
    </row>
    <row r="194" spans="1:11" x14ac:dyDescent="0.25">
      <c r="A194" s="314"/>
      <c r="B194" s="314"/>
      <c r="C194" s="314"/>
      <c r="D194" s="314"/>
      <c r="E194" s="314"/>
      <c r="G194" s="314"/>
      <c r="H194" s="314"/>
      <c r="I194" s="314"/>
      <c r="J194" s="314"/>
      <c r="K194" s="314"/>
    </row>
    <row r="195" spans="1:11" x14ac:dyDescent="0.25">
      <c r="A195" s="314"/>
      <c r="B195" s="314"/>
      <c r="C195" s="314"/>
      <c r="D195" s="314"/>
      <c r="E195" s="314"/>
      <c r="G195" s="314"/>
      <c r="H195" s="314"/>
      <c r="I195" s="314"/>
      <c r="J195" s="314"/>
      <c r="K195" s="314"/>
    </row>
    <row r="196" spans="1:11" x14ac:dyDescent="0.25">
      <c r="A196" s="314"/>
      <c r="B196" s="314"/>
      <c r="C196" s="314"/>
      <c r="D196" s="314"/>
      <c r="E196" s="314"/>
      <c r="G196" s="314"/>
      <c r="H196" s="314"/>
      <c r="I196" s="314"/>
      <c r="J196" s="314"/>
      <c r="K196" s="314"/>
    </row>
    <row r="197" spans="1:11" x14ac:dyDescent="0.25">
      <c r="A197" s="314"/>
      <c r="B197" s="314"/>
      <c r="C197" s="314"/>
      <c r="D197" s="314"/>
      <c r="E197" s="314"/>
      <c r="G197" s="314"/>
      <c r="H197" s="314"/>
      <c r="I197" s="314"/>
      <c r="J197" s="314"/>
      <c r="K197" s="314"/>
    </row>
    <row r="198" spans="1:11" x14ac:dyDescent="0.25">
      <c r="A198" s="314"/>
      <c r="B198" s="314"/>
      <c r="C198" s="314"/>
      <c r="D198" s="314"/>
      <c r="E198" s="314"/>
      <c r="G198" s="314"/>
      <c r="H198" s="314"/>
      <c r="I198" s="314"/>
      <c r="J198" s="314"/>
      <c r="K198" s="314"/>
    </row>
    <row r="199" spans="1:11" x14ac:dyDescent="0.25">
      <c r="A199" s="314"/>
      <c r="B199" s="314"/>
      <c r="C199" s="314"/>
      <c r="D199" s="314"/>
      <c r="E199" s="314"/>
      <c r="G199" s="314"/>
      <c r="H199" s="314"/>
      <c r="I199" s="314"/>
      <c r="J199" s="314"/>
      <c r="K199" s="314"/>
    </row>
    <row r="200" spans="1:11" x14ac:dyDescent="0.25">
      <c r="A200" s="314"/>
      <c r="B200" s="314"/>
      <c r="C200" s="314"/>
      <c r="D200" s="314"/>
      <c r="E200" s="314"/>
      <c r="G200" s="314"/>
      <c r="H200" s="314"/>
      <c r="I200" s="314"/>
      <c r="J200" s="314"/>
      <c r="K200" s="314"/>
    </row>
    <row r="202" spans="1:11" x14ac:dyDescent="0.25">
      <c r="A202" s="194" t="s">
        <v>221</v>
      </c>
      <c r="B202" s="194"/>
      <c r="C202" s="194"/>
      <c r="D202" s="194"/>
      <c r="E202" s="194"/>
      <c r="G202" s="194" t="s">
        <v>221</v>
      </c>
      <c r="H202" s="194"/>
      <c r="I202" s="194"/>
      <c r="J202" s="194"/>
      <c r="K202" s="194"/>
    </row>
    <row r="203" spans="1:11" x14ac:dyDescent="0.25">
      <c r="A203" s="314"/>
      <c r="B203" s="314"/>
      <c r="C203" s="314"/>
      <c r="D203" s="314"/>
      <c r="E203" s="314"/>
      <c r="G203" s="314"/>
      <c r="H203" s="314"/>
      <c r="I203" s="314"/>
      <c r="J203" s="314"/>
      <c r="K203" s="314"/>
    </row>
    <row r="204" spans="1:11" x14ac:dyDescent="0.25">
      <c r="A204" s="314"/>
      <c r="B204" s="314"/>
      <c r="C204" s="314"/>
      <c r="D204" s="314"/>
      <c r="E204" s="314"/>
      <c r="G204" s="314"/>
      <c r="H204" s="314"/>
      <c r="I204" s="314"/>
      <c r="J204" s="314"/>
      <c r="K204" s="314"/>
    </row>
    <row r="205" spans="1:11" x14ac:dyDescent="0.25">
      <c r="A205" s="314"/>
      <c r="B205" s="314"/>
      <c r="C205" s="314"/>
      <c r="D205" s="314"/>
      <c r="E205" s="314"/>
      <c r="G205" s="314"/>
      <c r="H205" s="314"/>
      <c r="I205" s="314"/>
      <c r="J205" s="314"/>
      <c r="K205" s="314"/>
    </row>
    <row r="206" spans="1:11" x14ac:dyDescent="0.25">
      <c r="A206" s="314"/>
      <c r="B206" s="314"/>
      <c r="C206" s="314"/>
      <c r="D206" s="314"/>
      <c r="E206" s="314"/>
      <c r="G206" s="314"/>
      <c r="H206" s="314"/>
      <c r="I206" s="314"/>
      <c r="J206" s="314"/>
      <c r="K206" s="314"/>
    </row>
    <row r="207" spans="1:11" x14ac:dyDescent="0.25">
      <c r="A207" s="314"/>
      <c r="B207" s="314"/>
      <c r="C207" s="314"/>
      <c r="D207" s="314"/>
      <c r="E207" s="314"/>
      <c r="G207" s="314"/>
      <c r="H207" s="314"/>
      <c r="I207" s="314"/>
      <c r="J207" s="314"/>
      <c r="K207" s="314"/>
    </row>
    <row r="208" spans="1:11" x14ac:dyDescent="0.25">
      <c r="A208" s="314"/>
      <c r="B208" s="314"/>
      <c r="C208" s="314"/>
      <c r="D208" s="314"/>
      <c r="E208" s="314"/>
      <c r="G208" s="314"/>
      <c r="H208" s="314"/>
      <c r="I208" s="314"/>
      <c r="J208" s="314"/>
      <c r="K208" s="314"/>
    </row>
    <row r="209" spans="1:11" x14ac:dyDescent="0.25">
      <c r="A209" s="314"/>
      <c r="B209" s="314"/>
      <c r="C209" s="314"/>
      <c r="D209" s="314"/>
      <c r="E209" s="314"/>
      <c r="G209" s="314"/>
      <c r="H209" s="314"/>
      <c r="I209" s="314"/>
      <c r="J209" s="314"/>
      <c r="K209" s="314"/>
    </row>
    <row r="210" spans="1:11" x14ac:dyDescent="0.25">
      <c r="A210" s="314"/>
      <c r="B210" s="314"/>
      <c r="C210" s="314"/>
      <c r="D210" s="314"/>
      <c r="E210" s="314"/>
      <c r="G210" s="314"/>
      <c r="H210" s="314"/>
      <c r="I210" s="314"/>
      <c r="J210" s="314"/>
      <c r="K210" s="314"/>
    </row>
    <row r="211" spans="1:11" x14ac:dyDescent="0.25">
      <c r="A211" s="314"/>
      <c r="B211" s="314"/>
      <c r="C211" s="314"/>
      <c r="D211" s="314"/>
      <c r="E211" s="314"/>
      <c r="G211" s="314"/>
      <c r="H211" s="314"/>
      <c r="I211" s="314"/>
      <c r="J211" s="314"/>
      <c r="K211" s="314"/>
    </row>
    <row r="212" spans="1:11" x14ac:dyDescent="0.25">
      <c r="A212" s="314"/>
      <c r="B212" s="314"/>
      <c r="C212" s="314"/>
      <c r="D212" s="314"/>
      <c r="E212" s="314"/>
      <c r="G212" s="314"/>
      <c r="H212" s="314"/>
      <c r="I212" s="314"/>
      <c r="J212" s="314"/>
      <c r="K212" s="314"/>
    </row>
    <row r="213" spans="1:11" x14ac:dyDescent="0.25">
      <c r="A213" s="314"/>
      <c r="B213" s="314"/>
      <c r="C213" s="314"/>
      <c r="D213" s="314"/>
      <c r="E213" s="314"/>
      <c r="G213" s="314"/>
      <c r="H213" s="314"/>
      <c r="I213" s="314"/>
      <c r="J213" s="314"/>
      <c r="K213" s="314"/>
    </row>
    <row r="214" spans="1:11" x14ac:dyDescent="0.25">
      <c r="A214" s="314"/>
      <c r="B214" s="314"/>
      <c r="C214" s="314"/>
      <c r="D214" s="314"/>
      <c r="E214" s="314"/>
      <c r="G214" s="314"/>
      <c r="H214" s="314"/>
      <c r="I214" s="314"/>
      <c r="J214" s="314"/>
      <c r="K214" s="314"/>
    </row>
    <row r="215" spans="1:11" x14ac:dyDescent="0.25">
      <c r="A215" s="314"/>
      <c r="B215" s="314"/>
      <c r="C215" s="314"/>
      <c r="D215" s="314"/>
      <c r="E215" s="314"/>
      <c r="G215" s="314"/>
      <c r="H215" s="314"/>
      <c r="I215" s="314"/>
      <c r="J215" s="314"/>
      <c r="K215" s="314"/>
    </row>
    <row r="216" spans="1:11" x14ac:dyDescent="0.25">
      <c r="A216" s="314"/>
      <c r="B216" s="314"/>
      <c r="C216" s="314"/>
      <c r="D216" s="314"/>
      <c r="E216" s="314"/>
      <c r="G216" s="314"/>
      <c r="H216" s="314"/>
      <c r="I216" s="314"/>
      <c r="J216" s="314"/>
      <c r="K216" s="314"/>
    </row>
    <row r="217" spans="1:11" x14ac:dyDescent="0.25">
      <c r="A217" s="314"/>
      <c r="B217" s="314"/>
      <c r="C217" s="314"/>
      <c r="D217" s="314"/>
      <c r="E217" s="314"/>
      <c r="G217" s="314"/>
      <c r="H217" s="314"/>
      <c r="I217" s="314"/>
      <c r="J217" s="314"/>
      <c r="K217" s="314"/>
    </row>
  </sheetData>
  <protectedRanges>
    <protectedRange sqref="E4:J7" name="Range1_4"/>
    <protectedRange sqref="D6" name="Range1_4_2_1_1"/>
    <protectedRange sqref="D5" name="Range1_4_2_2"/>
    <protectedRange sqref="D4" name="Range1_4_2_1_1_1_1"/>
  </protectedRanges>
  <mergeCells count="51">
    <mergeCell ref="A168:E182"/>
    <mergeCell ref="G168:K182"/>
    <mergeCell ref="A150:E150"/>
    <mergeCell ref="G150:K150"/>
    <mergeCell ref="A151:E165"/>
    <mergeCell ref="G151:K165"/>
    <mergeCell ref="A167:E167"/>
    <mergeCell ref="G167:K167"/>
    <mergeCell ref="A117:E131"/>
    <mergeCell ref="G117:K131"/>
    <mergeCell ref="A133:E133"/>
    <mergeCell ref="G133:K133"/>
    <mergeCell ref="A134:E148"/>
    <mergeCell ref="G134:K148"/>
    <mergeCell ref="A116:E116"/>
    <mergeCell ref="G116:K116"/>
    <mergeCell ref="A44:E44"/>
    <mergeCell ref="G44:K44"/>
    <mergeCell ref="A63:E63"/>
    <mergeCell ref="G63:K63"/>
    <mergeCell ref="A80:E80"/>
    <mergeCell ref="G80:K80"/>
    <mergeCell ref="A97:E97"/>
    <mergeCell ref="G97:K97"/>
    <mergeCell ref="G98:K112"/>
    <mergeCell ref="G81:K95"/>
    <mergeCell ref="G45:K59"/>
    <mergeCell ref="A81:E95"/>
    <mergeCell ref="A45:E59"/>
    <mergeCell ref="A64:E78"/>
    <mergeCell ref="A27:E27"/>
    <mergeCell ref="G27:K27"/>
    <mergeCell ref="A28:E42"/>
    <mergeCell ref="G28:K42"/>
    <mergeCell ref="A114:K114"/>
    <mergeCell ref="A98:E112"/>
    <mergeCell ref="G64:K78"/>
    <mergeCell ref="D2:J2"/>
    <mergeCell ref="A8:E8"/>
    <mergeCell ref="A10:E10"/>
    <mergeCell ref="G10:K10"/>
    <mergeCell ref="A11:E25"/>
    <mergeCell ref="G11:K25"/>
    <mergeCell ref="A203:E217"/>
    <mergeCell ref="G203:K217"/>
    <mergeCell ref="A185:E185"/>
    <mergeCell ref="G185:K185"/>
    <mergeCell ref="A186:E200"/>
    <mergeCell ref="G186:K200"/>
    <mergeCell ref="A202:E202"/>
    <mergeCell ref="G202:K202"/>
  </mergeCells>
  <conditionalFormatting sqref="D7">
    <cfRule type="cellIs" dxfId="1" priority="2" operator="equal">
      <formula>0</formula>
    </cfRule>
  </conditionalFormatting>
  <conditionalFormatting sqref="G4:I7">
    <cfRule type="cellIs" dxfId="0" priority="1" operator="equal">
      <formula>0</formula>
    </cfRule>
  </conditionalFormatting>
  <pageMargins left="1.1811023622047245" right="0.35433070866141736" top="0.55118110236220474" bottom="0.35433070866141736" header="0.23622047244094491" footer="0.19685039370078741"/>
  <pageSetup paperSize="9" scale="85" orientation="portrait" horizontalDpi="4294967292" r:id="rId1"/>
  <rowBreaks count="4" manualBreakCount="4">
    <brk id="60" max="10" man="1"/>
    <brk id="113" max="10" man="1"/>
    <brk id="149" max="10" man="1"/>
    <brk id="183" max="10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9</vt:i4>
      </vt:variant>
    </vt:vector>
  </HeadingPairs>
  <TitlesOfParts>
    <vt:vector size="27" baseType="lpstr">
      <vt:lpstr>Stacking Shelter Checklist</vt:lpstr>
      <vt:lpstr>QC Point and Checklist</vt:lpstr>
      <vt:lpstr>MASTER</vt:lpstr>
      <vt:lpstr>CHECKLIS MK B2S</vt:lpstr>
      <vt:lpstr>EVIDEN</vt:lpstr>
      <vt:lpstr>EVIDEN 1</vt:lpstr>
      <vt:lpstr>EVIDEN 2</vt:lpstr>
      <vt:lpstr>EVIDEN 3</vt:lpstr>
      <vt:lpstr>EVIDEN 4</vt:lpstr>
      <vt:lpstr>EVIDEN 5</vt:lpstr>
      <vt:lpstr>UNDANGAN SKOM</vt:lpstr>
      <vt:lpstr>SKOM</vt:lpstr>
      <vt:lpstr>PEMBESIAN SITE</vt:lpstr>
      <vt:lpstr>UNDANGAN PENGECORAN</vt:lpstr>
      <vt:lpstr>PENGECORAN SITE</vt:lpstr>
      <vt:lpstr>MOS &amp; ERECTION</vt:lpstr>
      <vt:lpstr>UNDANGAN ATP</vt:lpstr>
      <vt:lpstr>PELAKSANAAN ATP</vt:lpstr>
      <vt:lpstr>'CHECKLIS MK B2S'!Print_Area</vt:lpstr>
      <vt:lpstr>'MOS &amp; ERECTION'!Print_Area</vt:lpstr>
      <vt:lpstr>'PELAKSANAAN ATP'!Print_Area</vt:lpstr>
      <vt:lpstr>'PENGECORAN SITE'!Print_Area</vt:lpstr>
      <vt:lpstr>SKOM!Print_Area</vt:lpstr>
      <vt:lpstr>'Stacking Shelter Checklist'!Print_Area</vt:lpstr>
      <vt:lpstr>'MOS &amp; ERECTION'!Print_Titles</vt:lpstr>
      <vt:lpstr>'PELAKSANAAN ATP'!Print_Titles</vt:lpstr>
      <vt:lpstr>'PENGECORAN SITE'!Print_Titles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hady</dc:creator>
  <cp:lastModifiedBy>agung</cp:lastModifiedBy>
  <cp:lastPrinted>2025-09-29T23:24:01Z</cp:lastPrinted>
  <dcterms:created xsi:type="dcterms:W3CDTF">2010-06-11T03:56:08Z</dcterms:created>
  <dcterms:modified xsi:type="dcterms:W3CDTF">2026-03-16T18:51:18Z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0a07cf-b843-4f96-b492-dd5caf6b5453_Enabled">
    <vt:lpwstr>true</vt:lpwstr>
  </property>
  <property fmtid="{D5CDD505-2E9C-101B-9397-08002B2CF9AE}" pid="3" name="MSIP_Label_4d0a07cf-b843-4f96-b492-dd5caf6b5453_SetDate">
    <vt:lpwstr>2023-05-11T03:33:48Z</vt:lpwstr>
  </property>
  <property fmtid="{D5CDD505-2E9C-101B-9397-08002B2CF9AE}" pid="4" name="MSIP_Label_4d0a07cf-b843-4f96-b492-dd5caf6b5453_Method">
    <vt:lpwstr>Privileged</vt:lpwstr>
  </property>
  <property fmtid="{D5CDD505-2E9C-101B-9397-08002B2CF9AE}" pid="5" name="MSIP_Label_4d0a07cf-b843-4f96-b492-dd5caf6b5453_Name">
    <vt:lpwstr>Publik</vt:lpwstr>
  </property>
  <property fmtid="{D5CDD505-2E9C-101B-9397-08002B2CF9AE}" pid="6" name="MSIP_Label_4d0a07cf-b843-4f96-b492-dd5caf6b5453_SiteId">
    <vt:lpwstr>fafb9cf1-df5d-4a38-997e-ad13ee078b56</vt:lpwstr>
  </property>
  <property fmtid="{D5CDD505-2E9C-101B-9397-08002B2CF9AE}" pid="7" name="MSIP_Label_4d0a07cf-b843-4f96-b492-dd5caf6b5453_ActionId">
    <vt:lpwstr>a9dee22e-652d-47f3-b1d0-836a4d0b0605</vt:lpwstr>
  </property>
  <property fmtid="{D5CDD505-2E9C-101B-9397-08002B2CF9AE}" pid="8" name="MSIP_Label_4d0a07cf-b843-4f96-b492-dd5caf6b5453_ContentBits">
    <vt:lpwstr>2</vt:lpwstr>
  </property>
</Properties>
</file>